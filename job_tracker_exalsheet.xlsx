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y Rules" sheetId="1" state="visible" r:id="rId3"/>
    <sheet name="Applications" sheetId="2" state="visible" r:id="rId4"/>
    <sheet name="Dashboard" sheetId="3" state="visible" r:id="rId5"/>
    <sheet name="Quick Reference" sheetId="4" state="visible" r:id="rId6"/>
    <sheet name="ChartData" sheetId="5" state="hidden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<sst xmlns="http://schemas.openxmlformats.org/spreadsheetml/2006/main" count="215" uniqueCount="183">
  <si>
    <t xml:space="preserve">⚙️  MY APPLY RULES — Faysal Ahmed</t>
  </si>
  <si>
    <t xml:space="preserve">Change the yellow cells below to update your apply criteria. Sheet auto-applies to Score column.</t>
  </si>
  <si>
    <t xml:space="preserve">1.  SKILL MATCH  (most important)</t>
  </si>
  <si>
    <t xml:space="preserve">Rule</t>
  </si>
  <si>
    <t xml:space="preserve">Your Setting</t>
  </si>
  <si>
    <t xml:space="preserve">What it means</t>
  </si>
  <si>
    <t xml:space="preserve">Min Skill Match % to Apply</t>
  </si>
  <si>
    <t xml:space="preserve">Apply only if ≥ this % of job's required skills match yours. Default: 70%</t>
  </si>
  <si>
    <t xml:space="preserve">My Skills (comma separated)</t>
  </si>
  <si>
    <t xml:space="preserve">JavaScript, TypeScript, React.js, Next.js, Node.js, Express.js, MongoDB, PostgreSQL, Prisma, REST API, JWT, TanStack Query, Docker, Redis, Git</t>
  </si>
  <si>
    <t xml:space="preserve">Update this whenever you learn a new skill</t>
  </si>
  <si>
    <t xml:space="preserve">2.  EXPERIENCE REQUIREMENT</t>
  </si>
  <si>
    <t xml:space="preserve">Max experience to FULLY apply (yrs)</t>
  </si>
  <si>
    <t xml:space="preserve">0 to this value = apply with full confidence</t>
  </si>
  <si>
    <t xml:space="preserve">Max experience to STILL apply (yrs)</t>
  </si>
  <si>
    <t xml:space="preserve">Up to this = apply but score penalty applies</t>
  </si>
  <si>
    <t xml:space="preserve">Experience above this = SKIP (yrs)</t>
  </si>
  <si>
    <t xml:space="preserve">4+ years required → do not apply</t>
  </si>
  <si>
    <t xml:space="preserve">3.  QUICK SCORE CALCULATOR  (fill this per job)</t>
  </si>
  <si>
    <t xml:space="preserve">Question</t>
  </si>
  <si>
    <t xml:space="preserve">Your Answer</t>
  </si>
  <si>
    <t xml:space="preserve">Points</t>
  </si>
  <si>
    <t xml:space="preserve">What % of job's required skills do you have?</t>
  </si>
  <si>
    <t xml:space="preserve">How many years experience does job require?</t>
  </si>
  <si>
    <t xml:space="preserve">TOTAL SCORE  (out of 100)</t>
  </si>
  <si>
    <t xml:space="preserve">4.  HOW TO USE</t>
  </si>
  <si>
    <t xml:space="preserve">🟡 Yellow cells (Sections 1 &amp; 2)</t>
  </si>
  <si>
    <t xml:space="preserve">Your permanent settings — change once, stays forever</t>
  </si>
  <si>
    <t xml:space="preserve">🟢 Green cells (Section 3)</t>
  </si>
  <si>
    <t xml:space="preserve">Fill these for EACH new job you evaluate</t>
  </si>
  <si>
    <t xml:space="preserve">✅ APPLY</t>
  </si>
  <si>
    <t xml:space="preserve">Score is strong — go ahead</t>
  </si>
  <si>
    <t xml:space="preserve">⚠️ BORDERLINE</t>
  </si>
  <si>
    <t xml:space="preserve">Your call — check if you really want this role</t>
  </si>
  <si>
    <t xml:space="preserve">❌ SKIP</t>
  </si>
  <si>
    <t xml:space="preserve">Experience too high OR skill match too low</t>
  </si>
  <si>
    <t xml:space="preserve">After scoring →</t>
  </si>
  <si>
    <t xml:space="preserve">Copy the total score to Match Score column in Applications sheet</t>
  </si>
  <si>
    <t xml:space="preserve">ID</t>
  </si>
  <si>
    <t xml:space="preserve">APPLICATION</t>
  </si>
  <si>
    <t xml:space="preserve">JOB DETAILS</t>
  </si>
  <si>
    <t xml:space="preserve">KEY INFO</t>
  </si>
  <si>
    <t xml:space="preserve">SCORING</t>
  </si>
  <si>
    <t xml:space="preserve">STATUS</t>
  </si>
  <si>
    <t xml:space="preserve">No.</t>
  </si>
  <si>
    <t xml:space="preserve">Applied Date
(auto on entry)</t>
  </si>
  <si>
    <t xml:space="preserve">Company Name</t>
  </si>
  <si>
    <t xml:space="preserve">Job Title</t>
  </si>
  <si>
    <t xml:space="preserve">Job Type</t>
  </si>
  <si>
    <t xml:space="preserve">Platform</t>
  </si>
  <si>
    <t xml:space="preserve">Apply Method</t>
  </si>
  <si>
    <t xml:space="preserve">Apply Link / Email</t>
  </si>
  <si>
    <t xml:space="preserve">Work Mode</t>
  </si>
  <si>
    <t xml:space="preserve">Location / Country</t>
  </si>
  <si>
    <t xml:space="preserve">Salary / Range</t>
  </si>
  <si>
    <t xml:space="preserve">Experience Req.</t>
  </si>
  <si>
    <t xml:space="preserve">Deadline
(if mentioned)</t>
  </si>
  <si>
    <t xml:space="preserve">Key Info
(Requirements &amp; Responsibilities)</t>
  </si>
  <si>
    <t xml:space="preserve">Match Score
(/100)
🟢≥80 🟡60-79 🔴&lt;60</t>
  </si>
  <si>
    <t xml:space="preserve">Score Notes</t>
  </si>
  <si>
    <t xml:space="preserve">Application Status</t>
  </si>
  <si>
    <t xml:space="preserve">Response</t>
  </si>
  <si>
    <t xml:space="preserve">Follow-up Date</t>
  </si>
  <si>
    <t xml:space="preserve">Interview Date</t>
  </si>
  <si>
    <t xml:space="preserve">Recruiter Name</t>
  </si>
  <si>
    <t xml:space="preserve">Referred By</t>
  </si>
  <si>
    <t xml:space="preserve">Contact /
WhatsApp No.</t>
  </si>
  <si>
    <t xml:space="preserve">Notes</t>
  </si>
  <si>
    <t xml:space="preserve">25 Apr</t>
  </si>
  <si>
    <t xml:space="preserve">Nash</t>
  </si>
  <si>
    <t xml:space="preserve">Full Stack Developer</t>
  </si>
  <si>
    <t xml:space="preserve">LinkedIn</t>
  </si>
  <si>
    <t xml:space="preserve">Link</t>
  </si>
  <si>
    <t xml:space="preserve">https://careers.vizientinc.com/...</t>
  </si>
  <si>
    <t xml:space="preserve">Remote</t>
  </si>
  <si>
    <t xml:space="preserve">US</t>
  </si>
  <si>
    <t xml:space="preserve">N/A</t>
  </si>
  <si>
    <t xml:space="preserve">0-2 yrs</t>
  </si>
  <si>
    <t xml:space="preserve">Skills: React, Node, MongoDB
Resp: Build features, API integration, code reviews</t>
  </si>
  <si>
    <t xml:space="preserve">Missing TypeScript</t>
  </si>
  <si>
    <t xml:space="preserve">Applied</t>
  </si>
  <si>
    <t xml:space="preserve">No</t>
  </si>
  <si>
    <t xml:space="preserve">29 Apr</t>
  </si>
  <si>
    <t xml:space="preserve">Xponent</t>
  </si>
  <si>
    <t xml:space="preserve">Full Stack JS Developer</t>
  </si>
  <si>
    <t xml:space="preserve">Direct</t>
  </si>
  <si>
    <t xml:space="preserve">https://www.xponent.com.bd/careers/apply?job=full-stack-javascript-developer</t>
  </si>
  <si>
    <t xml:space="preserve">Onsite</t>
  </si>
  <si>
    <t xml:space="preserve">Bangladesh</t>
  </si>
  <si>
    <t xml:space="preserve">0-3 yrs</t>
  </si>
  <si>
    <t xml:space="preserve">Skills: JS, React, Node, Express, MongoDB
Resp: Develop features, maintain codebase, collaborate with team</t>
  </si>
  <si>
    <t xml:space="preserve">Strong stack + BD local</t>
  </si>
  <si>
    <t xml:space="preserve">02 May</t>
  </si>
  <si>
    <t xml:space="preserve">Turing</t>
  </si>
  <si>
    <t xml:space="preserve">Full Stack Engineer</t>
  </si>
  <si>
    <t xml:space="preserve">https://www.linkedin.com/jobs/view/4410747341/</t>
  </si>
  <si>
    <t xml:space="preserve">1-3 yrs</t>
  </si>
  <si>
    <t xml:space="preserve">Skills: React, Node.js, TypeScript, PostgreSQL
Resp: Build scalable systems, code reviews</t>
  </si>
  <si>
    <t xml:space="preserve">Good match; need TypeScript</t>
  </si>
  <si>
    <t xml:space="preserve">📊  JOB APPLICATION DASHBOARD — Md Faysal Ahmed</t>
  </si>
  <si>
    <t xml:space="preserve">Total Applied</t>
  </si>
  <si>
    <t xml:space="preserve">Score ≥ 80</t>
  </si>
  <si>
    <t xml:space="preserve">Got Response</t>
  </si>
  <si>
    <t xml:space="preserve">Interview Scheduled</t>
  </si>
  <si>
    <t xml:space="preserve">Offer Received</t>
  </si>
  <si>
    <t xml:space="preserve">Ghosted</t>
  </si>
  <si>
    <t xml:space="preserve">Avg Match Score</t>
  </si>
  <si>
    <t xml:space="preserve">Response Rate</t>
  </si>
  <si>
    <t xml:space="preserve">Last 7 Days</t>
  </si>
  <si>
    <t xml:space="preserve">Last 7d
Response Rate</t>
  </si>
  <si>
    <t xml:space="preserve">Applications by Platform</t>
  </si>
  <si>
    <t xml:space="preserve">Applications by Status</t>
  </si>
  <si>
    <t xml:space="preserve">Count</t>
  </si>
  <si>
    <t xml:space="preserve">% Share</t>
  </si>
  <si>
    <t xml:space="preserve">Avg Score</t>
  </si>
  <si>
    <t xml:space="preserve">Status</t>
  </si>
  <si>
    <t xml:space="preserve">BDJobs</t>
  </si>
  <si>
    <t xml:space="preserve">Pending</t>
  </si>
  <si>
    <t xml:space="preserve">Facebook</t>
  </si>
  <si>
    <t xml:space="preserve">Rejected</t>
  </si>
  <si>
    <t xml:space="preserve">Email</t>
  </si>
  <si>
    <t xml:space="preserve">Referral</t>
  </si>
  <si>
    <t xml:space="preserve">Other</t>
  </si>
  <si>
    <t xml:space="preserve">Withdrawn</t>
  </si>
  <si>
    <t xml:space="preserve">📅  Last 7 Days — Recent Applications</t>
  </si>
  <si>
    <t xml:space="preserve">Date</t>
  </si>
  <si>
    <t xml:space="preserve">Company</t>
  </si>
  <si>
    <t xml:space="preserve">Role Type</t>
  </si>
  <si>
    <t xml:space="preserve">Match Score</t>
  </si>
  <si>
    <t xml:space="preserve">💡 To see last 7 days entries: Go to Applications sheet → click the Applied Date column header → Filter → 'Filter by date' → Last 7 days</t>
  </si>
  <si>
    <t xml:space="preserve">📈  Last 4 Weeks — Applied vs Response (auto-updates daily)</t>
  </si>
  <si>
    <t xml:space="preserve">📎  QUICK REFERENCE — Resume Links &amp; Usage Guide</t>
  </si>
  <si>
    <t xml:space="preserve">RESUME LINKS (select based on job role type)</t>
  </si>
  <si>
    <t xml:space="preserve">Resume Link</t>
  </si>
  <si>
    <t xml:space="preserve">Frontend Developer</t>
  </si>
  <si>
    <t xml:space="preserve">https://drive.google.com/file/d/1phcr2LZvePEAJM_njYvSiI02ihnfH7T_/view</t>
  </si>
  <si>
    <t xml:space="preserve">https://drive.google.com/file/d/1q83JKRrheIFbtyVBpqh61Wg22dyFWFCq/view</t>
  </si>
  <si>
    <t xml:space="preserve">MERN Stack Developer</t>
  </si>
  <si>
    <t xml:space="preserve">https://drive.google.com/file/d/1ORVltguWYmu3ryxCqALNPxASlitqZ0DG/view</t>
  </si>
  <si>
    <t xml:space="preserve">https://drive.google.com/file/d/1TaQt59rLNK0Cu3CAwKsy8U8PCOQ-O46b/view</t>
  </si>
  <si>
    <t xml:space="preserve">Backend Engineer</t>
  </si>
  <si>
    <t xml:space="preserve">https://drive.google.com/file/d/1BWErSaTYNqoihsDUGT3ZJ_BjRe2HuHiK/view</t>
  </si>
  <si>
    <t xml:space="preserve">Software Engineer</t>
  </si>
  <si>
    <t xml:space="preserve">https://drive.google.com/file/d/1M3Q4A0Ume0rfrXkprr80-AWNpuX1LarE/view</t>
  </si>
  <si>
    <t xml:space="preserve">SCORING GUIDE</t>
  </si>
  <si>
    <t xml:space="preserve">Category</t>
  </si>
  <si>
    <t xml:space="preserve">Max</t>
  </si>
  <si>
    <t xml:space="preserve">Skills Match</t>
  </si>
  <si>
    <t xml:space="preserve">50 pts</t>
  </si>
  <si>
    <t xml:space="preserve">JS/TS, React, Node, MongoDB, PostgreSQL, Express, Prisma, JWT, TanStack</t>
  </si>
  <si>
    <t xml:space="preserve">Experience Match</t>
  </si>
  <si>
    <t xml:space="preserve">20 pts</t>
  </si>
  <si>
    <t xml:space="preserve">0-2 yrs = full; 3 yrs + good stack = partial; 4+ = reject</t>
  </si>
  <si>
    <t xml:space="preserve">Role Match</t>
  </si>
  <si>
    <t xml:space="preserve">15 pts</t>
  </si>
  <si>
    <t xml:space="preserve">Full Stack &gt; Backend &gt; MERN &gt; Software Eng &gt; Frontend</t>
  </si>
  <si>
    <t xml:space="preserve">Location/Work Mode</t>
  </si>
  <si>
    <t xml:space="preserve">10 pts</t>
  </si>
  <si>
    <t xml:space="preserve">Column M in Applications sheet — enter manually after reading the job post</t>
  </si>
  <si>
    <t xml:space="preserve">Project Relevance</t>
  </si>
  <si>
    <t xml:space="preserve">5 pts</t>
  </si>
  <si>
    <t xml:space="preserve">MediStore / Sustainify match the job focus</t>
  </si>
  <si>
    <t xml:space="preserve">APPLY threshold</t>
  </si>
  <si>
    <t xml:space="preserve">≥ 80</t>
  </si>
  <si>
    <t xml:space="preserve">Score must be 80 or above to apply</t>
  </si>
  <si>
    <t xml:space="preserve">HOW TO USE THIS SHEET</t>
  </si>
  <si>
    <t xml:space="preserve">1. APPLICATIONS tab → enter every job you apply for in a new row</t>
  </si>
  <si>
    <t xml:space="preserve">2. Key Requirements &amp; Key Responsibilities → copy directly from job post (important for recruiter recall)</t>
  </si>
  <si>
    <t xml:space="preserve">3. Tech Stack Required → list the tools the company actually asks for</t>
  </si>
  <si>
    <t xml:space="preserve">4. Match Score → score from 0-100 using the scoring guide above</t>
  </si>
  <si>
    <t xml:space="preserve">5. Resume Used → pick from dropdown (must match the role type)</t>
  </si>
  <si>
    <t xml:space="preserve">6. Apply Method: 'Link' = form/portal  |  'Email' = send CV directly</t>
  </si>
  <si>
    <t xml:space="preserve">7. Application Status → update after each milestone (Applied → Response → Interview)</t>
  </si>
  <si>
    <t xml:space="preserve">8. Follow-up Date → set 5-7 days after applying if no reply</t>
  </si>
  <si>
    <t xml:space="preserve">9. DASHBOARD tab → auto-shows your stats; check it weekly</t>
  </si>
  <si>
    <t xml:space="preserve">10. When a recruiter contacts you → search Company Name column → read Key Reqs + Key Resp</t>
  </si>
  <si>
    <t xml:space="preserve">⚡ AUTO DATE: Applied Date fills automatically when you enter a Company Name. To FREEZE the date (prevent it changing daily): select the date cell → Copy → Paste Special → Values Only (Ctrl+Shift+V).</t>
  </si>
  <si>
    <t xml:space="preserve">Week</t>
  </si>
  <si>
    <t xml:space="preserve">Responses</t>
  </si>
  <si>
    <t xml:space="preserve">Week 1
(oldest)</t>
  </si>
  <si>
    <t xml:space="preserve">Week 2</t>
  </si>
  <si>
    <t xml:space="preserve">Week 3</t>
  </si>
  <si>
    <t xml:space="preserve">Week 4
(latest)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</si>
</sst>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\%"/>
    <numFmt numFmtId="166" formatCode="General"/>
    <numFmt numFmtId="167" formatCode="dd\ mmm\ yyyy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117A6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8"/>
      <color rgb="FF2E86C1"/>
      <name val="Arial"/>
      <family val="0"/>
      <charset val="1"/>
    </font>
    <font>
      <b val="true"/>
      <sz val="18"/>
      <color rgb="FF117A65"/>
      <name val="Arial"/>
      <family val="0"/>
      <charset val="1"/>
    </font>
    <font>
      <b val="true"/>
      <sz val="18"/>
      <color rgb="FF784212"/>
      <name val="Arial"/>
      <family val="0"/>
      <charset val="1"/>
    </font>
    <font>
      <b val="true"/>
      <sz val="18"/>
      <color rgb="FF6C3483"/>
      <name val="Arial"/>
      <family val="0"/>
      <charset val="1"/>
    </font>
    <font>
      <b val="true"/>
      <sz val="18"/>
      <color rgb="FF1A5276"/>
      <name val="Arial"/>
      <family val="0"/>
      <charset val="1"/>
    </font>
    <font>
      <b val="true"/>
      <sz val="18"/>
      <color rgb="FF922B21"/>
      <name val="Arial"/>
      <family val="0"/>
      <charset val="1"/>
    </font>
    <font>
      <b val="true"/>
      <sz val="18"/>
      <color rgb="FF1A6B3A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color rgb="FFFFFFFF"/>
      <name val="Arial"/>
      <family val="0"/>
      <charset val="1"/>
    </font>
    <font>
      <sz val="9"/>
      <color rgb="FF0563C1"/>
      <name val="Arial"/>
      <family val="0"/>
      <charset val="1"/>
    </font>
    <font>
      <sz val="9"/>
      <color rgb="FFFFFFFF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F0F4F8"/>
        <bgColor rgb="FFEBF2FA"/>
      </patternFill>
    </fill>
    <fill>
      <patternFill patternType="solid">
        <fgColor rgb="FF1A5276"/>
        <bgColor rgb="FF1F618D"/>
      </patternFill>
    </fill>
    <fill>
      <patternFill patternType="solid">
        <fgColor rgb="FF2E6DA4"/>
        <bgColor rgb="FF1F618D"/>
      </patternFill>
    </fill>
    <fill>
      <patternFill patternType="solid">
        <fgColor rgb="FFFFF2CC"/>
        <bgColor rgb="FFF0F7EE"/>
      </patternFill>
    </fill>
    <fill>
      <patternFill patternType="solid">
        <fgColor rgb="FF117A65"/>
        <bgColor rgb="FF1A6B3A"/>
      </patternFill>
    </fill>
    <fill>
      <patternFill patternType="solid">
        <fgColor rgb="FF784212"/>
        <bgColor rgb="FF922B21"/>
      </patternFill>
    </fill>
    <fill>
      <patternFill patternType="solid">
        <fgColor rgb="FFD5F5E3"/>
        <bgColor rgb="FFC6EFCE"/>
      </patternFill>
    </fill>
    <fill>
      <patternFill patternType="solid">
        <fgColor rgb="FFEBF2FA"/>
        <bgColor rgb="FFF0F4F8"/>
      </patternFill>
    </fill>
    <fill>
      <patternFill patternType="solid">
        <fgColor rgb="FF1F618D"/>
        <bgColor rgb="FF1A5276"/>
      </patternFill>
    </fill>
    <fill>
      <patternFill patternType="solid">
        <fgColor rgb="FF6C3483"/>
        <bgColor rgb="FF555555"/>
      </patternFill>
    </fill>
    <fill>
      <patternFill patternType="solid">
        <fgColor rgb="FFFFEB9C"/>
        <bgColor rgb="FFFFF2CC"/>
      </patternFill>
    </fill>
    <fill>
      <patternFill patternType="solid">
        <fgColor rgb="FFFFFFFF"/>
        <bgColor rgb="FFF0F7EE"/>
      </patternFill>
    </fill>
    <fill>
      <patternFill patternType="solid">
        <fgColor rgb="FFC6EFCE"/>
        <bgColor rgb="FFD5F5E3"/>
      </patternFill>
    </fill>
    <fill>
      <patternFill patternType="solid">
        <fgColor rgb="FF2E86C1"/>
        <bgColor rgb="FF2E6DA4"/>
      </patternFill>
    </fill>
    <fill>
      <patternFill patternType="solid">
        <fgColor rgb="FF922B21"/>
        <bgColor rgb="FF784212"/>
      </patternFill>
    </fill>
    <fill>
      <patternFill patternType="solid">
        <fgColor rgb="FF1A6B3A"/>
        <bgColor rgb="FF117A65"/>
      </patternFill>
    </fill>
    <fill>
      <patternFill patternType="solid">
        <fgColor rgb="FFF0F7EE"/>
        <bgColor rgb="FFF0F4F8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5D6E8"/>
      </left>
      <right style="thin">
        <color rgb="FFC5D6E8"/>
      </right>
      <top style="thin">
        <color rgb="FFC5D6E8"/>
      </top>
      <bottom style="thin">
        <color rgb="FFC5D6E8"/>
      </bottom>
      <diagonal/>
    </border>
    <border diagonalUp="false" diagonalDown="false">
      <left/>
      <right style="thin">
        <color rgb="FFC5D6E8"/>
      </right>
      <top/>
      <bottom/>
      <diagonal/>
    </border>
    <border diagonalUp="false" diagonalDown="false">
      <left style="thin">
        <color rgb="FFC5D6E8"/>
      </left>
      <right/>
      <top style="thin">
        <color rgb="FFC5D6E8"/>
      </top>
      <bottom style="thin">
        <color rgb="FFC5D6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1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3A"/>
      <rgbColor rgb="FF000080"/>
      <rgbColor rgb="FF808000"/>
      <rgbColor rgb="FF800080"/>
      <rgbColor rgb="FF117A65"/>
      <rgbColor rgb="FFB3B3B3"/>
      <rgbColor rgb="FF808080"/>
      <rgbColor rgb="FF9999FF"/>
      <rgbColor rgb="FF6C3483"/>
      <rgbColor rgb="FFFFF2CC"/>
      <rgbColor rgb="FFEBF2FA"/>
      <rgbColor rgb="FF660066"/>
      <rgbColor rgb="FFFF8080"/>
      <rgbColor rgb="FF0563C1"/>
      <rgbColor rgb="FFC5D6E8"/>
      <rgbColor rgb="FF000080"/>
      <rgbColor rgb="FFFF00FF"/>
      <rgbColor rgb="FFFFFF00"/>
      <rgbColor rgb="FF00FFFF"/>
      <rgbColor rgb="FF800080"/>
      <rgbColor rgb="FF800000"/>
      <rgbColor rgb="FF1F618D"/>
      <rgbColor rgb="FF0000FF"/>
      <rgbColor rgb="FF00CCFF"/>
      <rgbColor rgb="FFC6EFCE"/>
      <rgbColor rgb="FFD5F5E3"/>
      <rgbColor rgb="FFFFEB9C"/>
      <rgbColor rgb="FFF0F4F8"/>
      <rgbColor rgb="FFF0F7EE"/>
      <rgbColor rgb="FFCC99FF"/>
      <rgbColor rgb="FFD9D9D9"/>
      <rgbColor rgb="FF2E6DA4"/>
      <rgbColor rgb="FF33CCCC"/>
      <rgbColor rgb="FF99CC00"/>
      <rgbColor rgb="FFFFCC00"/>
      <rgbColor rgb="FFFF9900"/>
      <rgbColor rgb="FFFF6600"/>
      <rgbColor rgb="FF555555"/>
      <rgbColor rgb="FF969696"/>
      <rgbColor rgb="FF1E3A5F"/>
      <rgbColor rgb="FF2E86C1"/>
      <rgbColor rgb="FF003300"/>
      <rgbColor rgb="FF333300"/>
      <rgbColor rgb="FF922B21"/>
      <rgbColor rgb="FF784212"/>
      <rgbColor rgb="FF1A527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Last 4 Weeks — Applied vs Response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ChartData!B1</c:f>
              <c:strCache>
                <c:ptCount val="1"/>
                <c:pt idx="0">
                  <c:v>Applied</c:v>
                </c:pt>
              </c:strCache>
            </c:strRef>
          </c:tx>
          <c:spPr>
            <a:solidFill>
              <a:srgbClr val="2e6da4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ChartData!$A$2:$A$5</c:f>
              <c:strCache>
                <c:ptCount val="4"/>
                <c:pt idx="0">
                  <c:v>Week 1
(oldest)</c:v>
                </c:pt>
                <c:pt idx="1">
                  <c:v>Week 2</c:v>
                </c:pt>
                <c:pt idx="2">
                  <c:v>Week 3</c:v>
                </c:pt>
                <c:pt idx="3">
                  <c:v>Week 4
(latest)</c:v>
                </c:pt>
              </c:strCache>
            </c:strRef>
          </c:cat>
          <c:val>
            <c:numRef>
              <c:f>ChartData!$B$2:$B$5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ChartData!C1</c:f>
              <c:strCache>
                <c:ptCount val="1"/>
                <c:pt idx="0">
                  <c:v>Responses</c:v>
                </c:pt>
              </c:strCache>
            </c:strRef>
          </c:tx>
          <c:spPr>
            <a:solidFill>
              <a:srgbClr val="117a65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ChartData!$A$2:$A$5</c:f>
              <c:strCache>
                <c:ptCount val="4"/>
                <c:pt idx="0">
                  <c:v>Week 1
(oldest)</c:v>
                </c:pt>
                <c:pt idx="1">
                  <c:v>Week 2</c:v>
                </c:pt>
                <c:pt idx="2">
                  <c:v>Week 3</c:v>
                </c:pt>
                <c:pt idx="3">
                  <c:v>Week 4
(latest)</c:v>
                </c:pt>
              </c:strCache>
            </c:strRef>
          </c:cat>
          <c:val>
            <c:numRef>
              <c:f>ChartData!$C$2:$C$5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83832632"/>
        <c:axId val="41412770"/>
      </c:barChart>
      <c:catAx>
        <c:axId val="8383263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412770"/>
        <c:crosses val="autoZero"/>
        <c:auto val="1"/>
        <c:lblAlgn val="ctr"/>
        <c:lblOffset val="100"/>
        <c:noMultiLvlLbl val="0"/>
      </c:catAx>
      <c:valAx>
        <c:axId val="4141277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8326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26</xdr:row>
      <xdr:rowOff>0</xdr:rowOff>
    </xdr:from>
    <xdr:to>
      <xdr:col>6</xdr:col>
      <xdr:colOff>1263240</xdr:colOff>
      <xdr:row>48</xdr:row>
      <xdr:rowOff>128520</xdr:rowOff>
    </xdr:to>
    <xdr:graphicFrame>
      <xdr:nvGraphicFramePr>
        <xdr:cNvPr id="0" name="Chart 1"/>
        <xdr:cNvGraphicFramePr/>
      </xdr:nvGraphicFramePr>
      <xdr:xfrm>
        <a:off x="0" y="6391440"/>
        <a:ext cx="647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2"/>
  </cols>
  <sheetData>
    <row r="1" customFormat="false" ht="31.5" hidden="false" customHeight="true" outlineLevel="0" collapsed="false">
      <c r="A1" s="1" t="s">
        <v>0</v>
      </c>
      <c r="B1" s="1"/>
      <c r="C1" s="1"/>
    </row>
    <row r="2" customFormat="false" ht="18" hidden="false" customHeight="true" outlineLevel="0" collapsed="false">
      <c r="A2" s="2" t="s">
        <v>1</v>
      </c>
      <c r="B2" s="2"/>
      <c r="C2" s="2"/>
    </row>
    <row r="3" customFormat="false" ht="7.5" hidden="false" customHeight="true" outlineLevel="0" collapsed="false"/>
    <row r="4" customFormat="false" ht="21.75" hidden="false" customHeight="true" outlineLevel="0" collapsed="false">
      <c r="A4" s="3" t="s">
        <v>2</v>
      </c>
      <c r="B4" s="3"/>
      <c r="C4" s="3"/>
    </row>
    <row r="5" customFormat="false" ht="18" hidden="false" customHeight="true" outlineLevel="0" collapsed="false">
      <c r="A5" s="4" t="s">
        <v>3</v>
      </c>
      <c r="B5" s="4" t="s">
        <v>4</v>
      </c>
      <c r="C5" s="4" t="s">
        <v>5</v>
      </c>
    </row>
    <row r="6" customFormat="false" ht="21.75" hidden="false" customHeight="true" outlineLevel="0" collapsed="false">
      <c r="A6" s="5" t="s">
        <v>6</v>
      </c>
      <c r="B6" s="6" t="n">
        <v>70</v>
      </c>
      <c r="C6" s="5" t="s">
        <v>7</v>
      </c>
    </row>
    <row r="7" customFormat="false" ht="39.75" hidden="false" customHeight="true" outlineLevel="0" collapsed="false">
      <c r="A7" s="5" t="s">
        <v>8</v>
      </c>
      <c r="B7" s="7" t="s">
        <v>9</v>
      </c>
      <c r="C7" s="5" t="s">
        <v>10</v>
      </c>
    </row>
    <row r="8" customFormat="false" ht="7.5" hidden="false" customHeight="true" outlineLevel="0" collapsed="false"/>
    <row r="9" customFormat="false" ht="21.75" hidden="false" customHeight="true" outlineLevel="0" collapsed="false">
      <c r="A9" s="8" t="s">
        <v>11</v>
      </c>
      <c r="B9" s="8"/>
      <c r="C9" s="8"/>
    </row>
    <row r="10" customFormat="false" ht="18" hidden="false" customHeight="true" outlineLevel="0" collapsed="false">
      <c r="A10" s="4" t="s">
        <v>3</v>
      </c>
      <c r="B10" s="4" t="s">
        <v>4</v>
      </c>
      <c r="C10" s="4" t="s">
        <v>5</v>
      </c>
    </row>
    <row r="11" customFormat="false" ht="21.75" hidden="false" customHeight="true" outlineLevel="0" collapsed="false">
      <c r="A11" s="5" t="s">
        <v>12</v>
      </c>
      <c r="B11" s="9" t="n">
        <v>2</v>
      </c>
      <c r="C11" s="5" t="s">
        <v>13</v>
      </c>
    </row>
    <row r="12" customFormat="false" ht="21.75" hidden="false" customHeight="true" outlineLevel="0" collapsed="false">
      <c r="A12" s="5" t="s">
        <v>14</v>
      </c>
      <c r="B12" s="9" t="n">
        <v>3</v>
      </c>
      <c r="C12" s="5" t="s">
        <v>15</v>
      </c>
    </row>
    <row r="13" customFormat="false" ht="21.75" hidden="false" customHeight="true" outlineLevel="0" collapsed="false">
      <c r="A13" s="5" t="s">
        <v>16</v>
      </c>
      <c r="B13" s="9" t="n">
        <v>4</v>
      </c>
      <c r="C13" s="5" t="s">
        <v>17</v>
      </c>
    </row>
    <row r="14" customFormat="false" ht="7.5" hidden="false" customHeight="true" outlineLevel="0" collapsed="false"/>
    <row r="15" customFormat="false" ht="21.75" hidden="false" customHeight="true" outlineLevel="0" collapsed="false">
      <c r="A15" s="10" t="s">
        <v>18</v>
      </c>
      <c r="B15" s="10"/>
      <c r="C15" s="10"/>
    </row>
    <row r="16" customFormat="false" ht="18" hidden="false" customHeight="true" outlineLevel="0" collapsed="false">
      <c r="A16" s="4" t="s">
        <v>19</v>
      </c>
      <c r="B16" s="4" t="s">
        <v>20</v>
      </c>
      <c r="C16" s="4" t="s">
        <v>21</v>
      </c>
    </row>
    <row r="17" customFormat="false" ht="21.75" hidden="false" customHeight="true" outlineLevel="0" collapsed="false">
      <c r="A17" s="5" t="s">
        <v>22</v>
      </c>
      <c r="B17" s="11" t="n">
        <v>80</v>
      </c>
      <c r="C17" s="12" t="n">
        <f aca="false">IF(B17&gt;=B6, ROUND((B17/100)*70, 0), 0)</f>
        <v>56</v>
      </c>
    </row>
    <row r="18" customFormat="false" ht="21.75" hidden="false" customHeight="true" outlineLevel="0" collapsed="false">
      <c r="A18" s="5" t="s">
        <v>23</v>
      </c>
      <c r="B18" s="13" t="n">
        <v>1</v>
      </c>
      <c r="C18" s="12" t="n">
        <f aca="false">IF(B18&gt;B13, 0, IF(B18&lt;=B11, 30, 15))</f>
        <v>30</v>
      </c>
    </row>
    <row r="19" customFormat="false" ht="27.75" hidden="false" customHeight="true" outlineLevel="0" collapsed="false">
      <c r="A19" s="14" t="s">
        <v>24</v>
      </c>
      <c r="B19" s="15" t="n">
        <f aca="false">C17+C18</f>
        <v>86</v>
      </c>
      <c r="C19" s="16" t="str">
        <f aca="false">IF(B18&gt;B13,"❌ SKIP — experience too high",IF(B17&lt;B6,"❌ SKIP — skill match too low",IF(C17+C18&gt;=70,"✅ APPLY","⚠️ BORDERLINE — your call")))</f>
        <v>✅ APPLY</v>
      </c>
    </row>
    <row r="20" customFormat="false" ht="7.5" hidden="false" customHeight="true" outlineLevel="0" collapsed="false"/>
    <row r="21" customFormat="false" ht="19.5" hidden="false" customHeight="true" outlineLevel="0" collapsed="false">
      <c r="A21" s="17" t="s">
        <v>25</v>
      </c>
      <c r="B21" s="17"/>
      <c r="C21" s="17"/>
    </row>
    <row r="22" customFormat="false" ht="19.5" hidden="false" customHeight="true" outlineLevel="0" collapsed="false">
      <c r="A22" s="18" t="s">
        <v>26</v>
      </c>
      <c r="B22" s="19" t="s">
        <v>27</v>
      </c>
      <c r="C22" s="19"/>
    </row>
    <row r="23" customFormat="false" ht="19.5" hidden="false" customHeight="true" outlineLevel="0" collapsed="false">
      <c r="A23" s="18" t="s">
        <v>28</v>
      </c>
      <c r="B23" s="19" t="s">
        <v>29</v>
      </c>
      <c r="C23" s="19"/>
    </row>
    <row r="24" customFormat="false" ht="19.5" hidden="false" customHeight="true" outlineLevel="0" collapsed="false">
      <c r="A24" s="18" t="s">
        <v>30</v>
      </c>
      <c r="B24" s="19" t="s">
        <v>31</v>
      </c>
      <c r="C24" s="19"/>
    </row>
    <row r="25" customFormat="false" ht="19.5" hidden="false" customHeight="true" outlineLevel="0" collapsed="false">
      <c r="A25" s="18" t="s">
        <v>32</v>
      </c>
      <c r="B25" s="19" t="s">
        <v>33</v>
      </c>
      <c r="C25" s="19"/>
    </row>
    <row r="26" customFormat="false" ht="19.5" hidden="false" customHeight="true" outlineLevel="0" collapsed="false">
      <c r="A26" s="18" t="s">
        <v>34</v>
      </c>
      <c r="B26" s="19" t="s">
        <v>35</v>
      </c>
      <c r="C26" s="19"/>
    </row>
    <row r="27" customFormat="false" ht="19.5" hidden="false" customHeight="true" outlineLevel="0" collapsed="false">
      <c r="A27" s="18" t="s">
        <v>36</v>
      </c>
      <c r="B27" s="19" t="s">
        <v>37</v>
      </c>
      <c r="C27" s="19"/>
    </row>
  </sheetData>
  <mergeCells count="12">
    <mergeCell ref="A1:C1"/>
    <mergeCell ref="A2:C2"/>
    <mergeCell ref="A4:C4"/>
    <mergeCell ref="A9:C9"/>
    <mergeCell ref="A15:C15"/>
    <mergeCell ref="A21:C21"/>
    <mergeCell ref="B22:C22"/>
    <mergeCell ref="B23:C23"/>
    <mergeCell ref="B24:C24"/>
    <mergeCell ref="B25:C25"/>
    <mergeCell ref="B26:C26"/>
    <mergeCell ref="B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5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0" width="5"/>
    <col collapsed="false" customWidth="true" hidden="false" outlineLevel="0" max="2" min="2" style="20" width="13"/>
    <col collapsed="false" customWidth="true" hidden="false" outlineLevel="0" max="3" min="3" style="20" width="22"/>
    <col collapsed="false" customWidth="true" hidden="false" outlineLevel="0" max="4" min="4" style="20" width="25"/>
    <col collapsed="false" customWidth="true" hidden="false" outlineLevel="0" max="5" min="5" style="20" width="15"/>
    <col collapsed="false" customWidth="true" hidden="false" outlineLevel="0" max="8" min="6" style="20" width="14"/>
    <col collapsed="false" customWidth="true" hidden="false" outlineLevel="0" max="9" min="9" style="20" width="13"/>
    <col collapsed="false" customWidth="true" hidden="false" outlineLevel="0" max="11" min="10" style="20" width="18"/>
    <col collapsed="false" customWidth="true" hidden="false" outlineLevel="0" max="12" min="12" style="20" width="14"/>
    <col collapsed="false" customWidth="true" hidden="false" outlineLevel="0" max="13" min="13" style="20" width="15"/>
    <col collapsed="false" customWidth="true" hidden="false" outlineLevel="0" max="15" min="14" style="20" width="55"/>
    <col collapsed="false" customWidth="true" hidden="false" outlineLevel="0" max="16" min="16" style="20" width="28"/>
    <col collapsed="false" customWidth="true" hidden="false" outlineLevel="0" max="18" min="17" style="20" width="18"/>
    <col collapsed="false" customWidth="true" hidden="false" outlineLevel="0" max="20" min="19" style="20" width="14"/>
    <col collapsed="false" customWidth="true" hidden="false" outlineLevel="0" max="29" min="21" style="20" width="20"/>
  </cols>
  <sheetData>
    <row r="1" customFormat="false" ht="19.5" hidden="false" customHeight="true" outlineLevel="0" collapsed="false">
      <c r="A1" s="21" t="s">
        <v>38</v>
      </c>
      <c r="B1" s="21"/>
      <c r="C1" s="21"/>
      <c r="D1" s="21"/>
      <c r="E1" s="22" t="s">
        <v>39</v>
      </c>
      <c r="F1" s="22"/>
      <c r="G1" s="22"/>
      <c r="H1" s="22"/>
      <c r="I1" s="23" t="s">
        <v>40</v>
      </c>
      <c r="J1" s="23"/>
      <c r="K1" s="23"/>
      <c r="L1" s="23"/>
      <c r="M1" s="23"/>
      <c r="N1" s="24" t="s">
        <v>41</v>
      </c>
      <c r="O1" s="25" t="s">
        <v>42</v>
      </c>
      <c r="P1" s="25"/>
      <c r="Q1" s="26" t="s">
        <v>43</v>
      </c>
      <c r="R1" s="26"/>
      <c r="S1" s="26"/>
      <c r="T1" s="26"/>
      <c r="U1" s="26"/>
      <c r="V1" s="26"/>
      <c r="W1" s="26"/>
      <c r="X1" s="26"/>
    </row>
    <row r="2" customFormat="false" ht="37.5" hidden="false" customHeight="true" outlineLevel="0" collapsed="false">
      <c r="A2" s="27" t="s">
        <v>44</v>
      </c>
      <c r="B2" s="27" t="s">
        <v>45</v>
      </c>
      <c r="C2" s="27" t="s">
        <v>46</v>
      </c>
      <c r="D2" s="27" t="s">
        <v>47</v>
      </c>
      <c r="E2" s="27" t="s">
        <v>48</v>
      </c>
      <c r="F2" s="27" t="s">
        <v>49</v>
      </c>
      <c r="G2" s="27" t="s">
        <v>50</v>
      </c>
      <c r="H2" s="27" t="s">
        <v>51</v>
      </c>
      <c r="I2" s="27" t="s">
        <v>52</v>
      </c>
      <c r="J2" s="27" t="s">
        <v>53</v>
      </c>
      <c r="K2" s="27" t="s">
        <v>54</v>
      </c>
      <c r="L2" s="27" t="s">
        <v>55</v>
      </c>
      <c r="M2" s="27" t="s">
        <v>56</v>
      </c>
      <c r="N2" s="27" t="s">
        <v>57</v>
      </c>
      <c r="O2" s="27" t="s">
        <v>58</v>
      </c>
      <c r="P2" s="27" t="s">
        <v>59</v>
      </c>
      <c r="Q2" s="27" t="s">
        <v>60</v>
      </c>
      <c r="R2" s="27" t="s">
        <v>61</v>
      </c>
      <c r="S2" s="27" t="s">
        <v>62</v>
      </c>
      <c r="T2" s="27" t="s">
        <v>63</v>
      </c>
      <c r="U2" s="27" t="s">
        <v>64</v>
      </c>
      <c r="V2" s="27" t="s">
        <v>65</v>
      </c>
      <c r="W2" s="27" t="s">
        <v>66</v>
      </c>
      <c r="X2" s="27" t="s">
        <v>67</v>
      </c>
    </row>
    <row r="3" customFormat="false" ht="54.75" hidden="false" customHeight="true" outlineLevel="0" collapsed="false">
      <c r="A3" s="28" t="n">
        <v>1</v>
      </c>
      <c r="B3" s="29" t="s">
        <v>68</v>
      </c>
      <c r="C3" s="30" t="s">
        <v>69</v>
      </c>
      <c r="D3" s="30" t="s">
        <v>70</v>
      </c>
      <c r="E3" s="30"/>
      <c r="F3" s="30" t="s">
        <v>71</v>
      </c>
      <c r="G3" s="30" t="s">
        <v>72</v>
      </c>
      <c r="H3" s="30" t="s">
        <v>73</v>
      </c>
      <c r="I3" s="30" t="s">
        <v>74</v>
      </c>
      <c r="J3" s="30" t="s">
        <v>75</v>
      </c>
      <c r="K3" s="30" t="s">
        <v>76</v>
      </c>
      <c r="L3" s="30" t="s">
        <v>77</v>
      </c>
      <c r="M3" s="30"/>
      <c r="N3" s="31" t="s">
        <v>78</v>
      </c>
      <c r="O3" s="32" t="n">
        <v>72</v>
      </c>
      <c r="P3" s="30" t="s">
        <v>79</v>
      </c>
      <c r="Q3" s="30" t="s">
        <v>80</v>
      </c>
      <c r="R3" s="30" t="s">
        <v>81</v>
      </c>
      <c r="S3" s="30"/>
      <c r="T3" s="30"/>
      <c r="U3" s="30"/>
      <c r="V3" s="30"/>
      <c r="W3" s="30"/>
      <c r="X3" s="30"/>
    </row>
    <row r="4" customFormat="false" ht="54.75" hidden="false" customHeight="true" outlineLevel="0" collapsed="false">
      <c r="A4" s="33" t="n">
        <v>2</v>
      </c>
      <c r="B4" s="34" t="s">
        <v>82</v>
      </c>
      <c r="C4" s="35" t="s">
        <v>83</v>
      </c>
      <c r="D4" s="35" t="s">
        <v>84</v>
      </c>
      <c r="E4" s="35"/>
      <c r="F4" s="35" t="s">
        <v>85</v>
      </c>
      <c r="G4" s="35" t="s">
        <v>72</v>
      </c>
      <c r="H4" s="35" t="s">
        <v>86</v>
      </c>
      <c r="I4" s="35" t="s">
        <v>87</v>
      </c>
      <c r="J4" s="35" t="s">
        <v>88</v>
      </c>
      <c r="K4" s="35" t="s">
        <v>76</v>
      </c>
      <c r="L4" s="35" t="s">
        <v>89</v>
      </c>
      <c r="M4" s="35"/>
      <c r="N4" s="36" t="s">
        <v>90</v>
      </c>
      <c r="O4" s="37" t="n">
        <v>88</v>
      </c>
      <c r="P4" s="35" t="s">
        <v>91</v>
      </c>
      <c r="Q4" s="35" t="s">
        <v>80</v>
      </c>
      <c r="R4" s="35" t="s">
        <v>81</v>
      </c>
      <c r="S4" s="35"/>
      <c r="T4" s="35"/>
      <c r="U4" s="35"/>
      <c r="V4" s="35"/>
      <c r="W4" s="35"/>
      <c r="X4" s="35"/>
    </row>
    <row r="5" customFormat="false" ht="54.75" hidden="false" customHeight="true" outlineLevel="0" collapsed="false">
      <c r="A5" s="28" t="n">
        <v>3</v>
      </c>
      <c r="B5" s="29" t="s">
        <v>92</v>
      </c>
      <c r="C5" s="30" t="s">
        <v>93</v>
      </c>
      <c r="D5" s="30" t="s">
        <v>94</v>
      </c>
      <c r="E5" s="30"/>
      <c r="F5" s="30" t="s">
        <v>71</v>
      </c>
      <c r="G5" s="30" t="s">
        <v>72</v>
      </c>
      <c r="H5" s="30" t="s">
        <v>95</v>
      </c>
      <c r="I5" s="30" t="s">
        <v>74</v>
      </c>
      <c r="J5" s="30" t="s">
        <v>75</v>
      </c>
      <c r="K5" s="30" t="s">
        <v>76</v>
      </c>
      <c r="L5" s="30" t="s">
        <v>96</v>
      </c>
      <c r="M5" s="30"/>
      <c r="N5" s="31" t="s">
        <v>97</v>
      </c>
      <c r="O5" s="37" t="n">
        <v>85</v>
      </c>
      <c r="P5" s="30" t="s">
        <v>98</v>
      </c>
      <c r="Q5" s="30" t="s">
        <v>80</v>
      </c>
      <c r="R5" s="30" t="s">
        <v>81</v>
      </c>
      <c r="S5" s="30"/>
      <c r="T5" s="30"/>
      <c r="U5" s="30"/>
      <c r="V5" s="30"/>
      <c r="W5" s="30"/>
      <c r="X5" s="30"/>
    </row>
    <row r="6" customFormat="false" ht="54.75" hidden="false" customHeight="true" outlineLevel="0" collapsed="false">
      <c r="A6" s="33"/>
      <c r="B6" s="34" t="str">
        <f aca="true">IF(C6&lt;&gt;"",TODAY(),"")</f>
        <v/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6"/>
      <c r="O6" s="38"/>
      <c r="P6" s="35"/>
      <c r="Q6" s="35"/>
      <c r="R6" s="35"/>
      <c r="S6" s="35"/>
      <c r="T6" s="35"/>
      <c r="U6" s="35"/>
      <c r="V6" s="35"/>
      <c r="W6" s="35"/>
      <c r="X6" s="35"/>
    </row>
    <row r="7" customFormat="false" ht="54.75" hidden="false" customHeight="true" outlineLevel="0" collapsed="false">
      <c r="A7" s="28"/>
      <c r="B7" s="29" t="str">
        <f aca="true">IF(C7&lt;&gt;"",TODAY(),"")</f>
        <v/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1"/>
      <c r="O7" s="39"/>
      <c r="P7" s="30"/>
      <c r="Q7" s="30"/>
      <c r="R7" s="30"/>
      <c r="S7" s="30"/>
      <c r="T7" s="30"/>
      <c r="U7" s="30"/>
      <c r="V7" s="30"/>
      <c r="W7" s="30"/>
      <c r="X7" s="30"/>
    </row>
    <row r="8" customFormat="false" ht="54.75" hidden="false" customHeight="true" outlineLevel="0" collapsed="false">
      <c r="A8" s="33"/>
      <c r="B8" s="34" t="str">
        <f aca="true">IF(C8&lt;&gt;"",TODAY(),"")</f>
        <v/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6"/>
      <c r="O8" s="38"/>
      <c r="P8" s="35"/>
      <c r="Q8" s="35"/>
      <c r="R8" s="35"/>
      <c r="S8" s="35"/>
      <c r="T8" s="35"/>
      <c r="U8" s="35"/>
      <c r="V8" s="35"/>
      <c r="W8" s="35"/>
      <c r="X8" s="35"/>
    </row>
    <row r="9" customFormat="false" ht="54.75" hidden="false" customHeight="true" outlineLevel="0" collapsed="false">
      <c r="A9" s="28"/>
      <c r="B9" s="29" t="str">
        <f aca="true">IF(C9&lt;&gt;"",TODAY(),"")</f>
        <v/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1"/>
      <c r="O9" s="39"/>
      <c r="P9" s="30"/>
      <c r="Q9" s="30"/>
      <c r="R9" s="30"/>
      <c r="S9" s="30"/>
      <c r="T9" s="30"/>
      <c r="U9" s="30"/>
      <c r="V9" s="30"/>
      <c r="W9" s="30"/>
      <c r="X9" s="30"/>
    </row>
    <row r="10" customFormat="false" ht="54.75" hidden="false" customHeight="true" outlineLevel="0" collapsed="false">
      <c r="A10" s="33"/>
      <c r="B10" s="34" t="str">
        <f aca="true">IF(C10&lt;&gt;"",TODAY(),"")</f>
        <v/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6"/>
      <c r="O10" s="38"/>
      <c r="P10" s="35"/>
      <c r="Q10" s="35"/>
      <c r="R10" s="35"/>
      <c r="S10" s="35"/>
      <c r="T10" s="35"/>
      <c r="U10" s="35"/>
      <c r="V10" s="35"/>
      <c r="W10" s="35"/>
      <c r="X10" s="35"/>
    </row>
    <row r="11" customFormat="false" ht="54.75" hidden="false" customHeight="true" outlineLevel="0" collapsed="false">
      <c r="A11" s="28"/>
      <c r="B11" s="29" t="str">
        <f aca="true">IF(C11&lt;&gt;"",TODAY(),"")</f>
        <v/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1"/>
      <c r="O11" s="39"/>
      <c r="P11" s="30"/>
      <c r="Q11" s="30"/>
      <c r="R11" s="30"/>
      <c r="S11" s="30"/>
      <c r="T11" s="30"/>
      <c r="U11" s="30"/>
      <c r="V11" s="30"/>
      <c r="W11" s="30"/>
      <c r="X11" s="30"/>
    </row>
    <row r="12" customFormat="false" ht="54.75" hidden="false" customHeight="true" outlineLevel="0" collapsed="false">
      <c r="A12" s="33"/>
      <c r="B12" s="34" t="str">
        <f aca="true">IF(C12&lt;&gt;"",TODAY(),"")</f>
        <v/>
      </c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6"/>
      <c r="O12" s="38"/>
      <c r="P12" s="35"/>
      <c r="Q12" s="35"/>
      <c r="R12" s="35"/>
      <c r="S12" s="35"/>
      <c r="T12" s="35"/>
      <c r="U12" s="35"/>
      <c r="V12" s="35"/>
      <c r="W12" s="35"/>
      <c r="X12" s="35"/>
    </row>
    <row r="13" customFormat="false" ht="54.75" hidden="false" customHeight="true" outlineLevel="0" collapsed="false">
      <c r="A13" s="28"/>
      <c r="B13" s="29" t="str">
        <f aca="true">IF(C13&lt;&gt;"",TODAY(),"")</f>
        <v/>
      </c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1"/>
      <c r="O13" s="39"/>
      <c r="P13" s="30"/>
      <c r="Q13" s="30"/>
      <c r="R13" s="30"/>
      <c r="S13" s="30"/>
      <c r="T13" s="30"/>
      <c r="U13" s="30"/>
      <c r="V13" s="30"/>
      <c r="W13" s="30"/>
      <c r="X13" s="30"/>
    </row>
    <row r="14" customFormat="false" ht="54.75" hidden="false" customHeight="true" outlineLevel="0" collapsed="false">
      <c r="A14" s="33"/>
      <c r="B14" s="34" t="str">
        <f aca="true">IF(C14&lt;&gt;"",TODAY(),"")</f>
        <v/>
      </c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6"/>
      <c r="O14" s="38"/>
      <c r="P14" s="35"/>
      <c r="Q14" s="35"/>
      <c r="R14" s="35"/>
      <c r="S14" s="35"/>
      <c r="T14" s="35"/>
      <c r="U14" s="35"/>
      <c r="V14" s="35"/>
      <c r="W14" s="35"/>
      <c r="X14" s="35"/>
    </row>
    <row r="15" customFormat="false" ht="54.75" hidden="false" customHeight="true" outlineLevel="0" collapsed="false">
      <c r="A15" s="28"/>
      <c r="B15" s="29" t="str">
        <f aca="true">IF(C15&lt;&gt;"",TODAY(),"")</f>
        <v/>
      </c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1"/>
      <c r="O15" s="39"/>
      <c r="P15" s="30"/>
      <c r="Q15" s="30"/>
      <c r="R15" s="30"/>
      <c r="S15" s="30"/>
      <c r="T15" s="30"/>
      <c r="U15" s="30"/>
      <c r="V15" s="30"/>
      <c r="W15" s="30"/>
      <c r="X15" s="30"/>
    </row>
    <row r="16" customFormat="false" ht="54.75" hidden="false" customHeight="true" outlineLevel="0" collapsed="false">
      <c r="A16" s="33"/>
      <c r="B16" s="34" t="str">
        <f aca="true">IF(C16&lt;&gt;"",TODAY(),"")</f>
        <v/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6"/>
      <c r="O16" s="38"/>
      <c r="P16" s="35"/>
      <c r="Q16" s="35"/>
      <c r="R16" s="35"/>
      <c r="S16" s="35"/>
      <c r="T16" s="35"/>
      <c r="U16" s="35"/>
      <c r="V16" s="35"/>
      <c r="W16" s="35"/>
      <c r="X16" s="35"/>
    </row>
    <row r="17" customFormat="false" ht="54.75" hidden="false" customHeight="true" outlineLevel="0" collapsed="false">
      <c r="A17" s="28"/>
      <c r="B17" s="29" t="str">
        <f aca="true">IF(C17&lt;&gt;"",TODAY(),"")</f>
        <v/>
      </c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1"/>
      <c r="O17" s="39"/>
      <c r="P17" s="30"/>
      <c r="Q17" s="30"/>
      <c r="R17" s="30"/>
      <c r="S17" s="30"/>
      <c r="T17" s="30"/>
      <c r="U17" s="30"/>
      <c r="V17" s="30"/>
      <c r="W17" s="30"/>
      <c r="X17" s="30"/>
    </row>
    <row r="18" customFormat="false" ht="54.75" hidden="false" customHeight="true" outlineLevel="0" collapsed="false">
      <c r="A18" s="33"/>
      <c r="B18" s="34" t="str">
        <f aca="true">IF(C18&lt;&gt;"",TODAY(),"")</f>
        <v/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6"/>
      <c r="O18" s="38"/>
      <c r="P18" s="35"/>
      <c r="Q18" s="35"/>
      <c r="R18" s="35"/>
      <c r="S18" s="35"/>
      <c r="T18" s="35"/>
      <c r="U18" s="35"/>
      <c r="V18" s="35"/>
      <c r="W18" s="35"/>
      <c r="X18" s="35"/>
    </row>
    <row r="19" customFormat="false" ht="54.75" hidden="false" customHeight="true" outlineLevel="0" collapsed="false">
      <c r="A19" s="28"/>
      <c r="B19" s="29" t="str">
        <f aca="true">IF(C19&lt;&gt;"",TODAY(),"")</f>
        <v/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1"/>
      <c r="O19" s="39"/>
      <c r="P19" s="30"/>
      <c r="Q19" s="30"/>
      <c r="R19" s="30"/>
      <c r="S19" s="30"/>
      <c r="T19" s="30"/>
      <c r="U19" s="30"/>
      <c r="V19" s="30"/>
      <c r="W19" s="30"/>
      <c r="X19" s="30"/>
    </row>
    <row r="20" customFormat="false" ht="54.75" hidden="false" customHeight="true" outlineLevel="0" collapsed="false">
      <c r="A20" s="33"/>
      <c r="B20" s="34" t="str">
        <f aca="true">IF(C20&lt;&gt;"",TODAY(),"")</f>
        <v/>
      </c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6"/>
      <c r="O20" s="38"/>
      <c r="P20" s="35"/>
      <c r="Q20" s="35"/>
      <c r="R20" s="35"/>
      <c r="S20" s="35"/>
      <c r="T20" s="35"/>
      <c r="U20" s="35"/>
      <c r="V20" s="35"/>
      <c r="W20" s="35"/>
      <c r="X20" s="35"/>
    </row>
    <row r="21" customFormat="false" ht="54.75" hidden="false" customHeight="true" outlineLevel="0" collapsed="false">
      <c r="A21" s="28"/>
      <c r="B21" s="29" t="str">
        <f aca="true">IF(C21&lt;&gt;"",TODAY(),"")</f>
        <v/>
      </c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1"/>
      <c r="O21" s="39"/>
      <c r="P21" s="30"/>
      <c r="Q21" s="30"/>
      <c r="R21" s="30"/>
      <c r="S21" s="30"/>
      <c r="T21" s="30"/>
      <c r="U21" s="30"/>
      <c r="V21" s="30"/>
      <c r="W21" s="30"/>
      <c r="X21" s="30"/>
    </row>
    <row r="22" customFormat="false" ht="54.75" hidden="false" customHeight="true" outlineLevel="0" collapsed="false">
      <c r="A22" s="33"/>
      <c r="B22" s="34" t="str">
        <f aca="true">IF(C22&lt;&gt;"",TODAY(),"")</f>
        <v/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6"/>
      <c r="O22" s="38"/>
      <c r="P22" s="35"/>
      <c r="Q22" s="35"/>
      <c r="R22" s="35"/>
      <c r="S22" s="35"/>
      <c r="T22" s="35"/>
      <c r="U22" s="35"/>
      <c r="V22" s="35"/>
      <c r="W22" s="35"/>
      <c r="X22" s="35"/>
    </row>
    <row r="23" customFormat="false" ht="54.75" hidden="false" customHeight="true" outlineLevel="0" collapsed="false">
      <c r="A23" s="28"/>
      <c r="B23" s="29" t="str">
        <f aca="true">IF(C23&lt;&gt;"",TODAY(),"")</f>
        <v/>
      </c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1"/>
      <c r="O23" s="39"/>
      <c r="P23" s="30"/>
      <c r="Q23" s="30"/>
      <c r="R23" s="30"/>
      <c r="S23" s="30"/>
      <c r="T23" s="30"/>
      <c r="U23" s="30"/>
      <c r="V23" s="30"/>
      <c r="W23" s="30"/>
      <c r="X23" s="30"/>
    </row>
    <row r="24" customFormat="false" ht="54.75" hidden="false" customHeight="true" outlineLevel="0" collapsed="false">
      <c r="A24" s="33"/>
      <c r="B24" s="34" t="str">
        <f aca="true">IF(C24&lt;&gt;"",TODAY(),"")</f>
        <v/>
      </c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6"/>
      <c r="O24" s="38"/>
      <c r="P24" s="35"/>
      <c r="Q24" s="35"/>
      <c r="R24" s="35"/>
      <c r="S24" s="35"/>
      <c r="T24" s="35"/>
      <c r="U24" s="35"/>
      <c r="V24" s="35"/>
      <c r="W24" s="35"/>
      <c r="X24" s="35"/>
    </row>
    <row r="25" customFormat="false" ht="54.75" hidden="false" customHeight="true" outlineLevel="0" collapsed="false">
      <c r="A25" s="28"/>
      <c r="B25" s="29" t="str">
        <f aca="true">IF(C25&lt;&gt;"",TODAY(),"")</f>
        <v/>
      </c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1"/>
      <c r="O25" s="39"/>
      <c r="P25" s="30"/>
      <c r="Q25" s="30"/>
      <c r="R25" s="30"/>
      <c r="S25" s="30"/>
      <c r="T25" s="30"/>
      <c r="U25" s="30"/>
      <c r="V25" s="30"/>
      <c r="W25" s="30"/>
      <c r="X25" s="30"/>
    </row>
    <row r="26" customFormat="false" ht="54.75" hidden="false" customHeight="true" outlineLevel="0" collapsed="false">
      <c r="A26" s="33"/>
      <c r="B26" s="34" t="str">
        <f aca="true">IF(C26&lt;&gt;"",TODAY(),"")</f>
        <v/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6"/>
      <c r="O26" s="38"/>
      <c r="P26" s="35"/>
      <c r="Q26" s="35"/>
      <c r="R26" s="35"/>
      <c r="S26" s="35"/>
      <c r="T26" s="35"/>
      <c r="U26" s="35"/>
      <c r="V26" s="35"/>
      <c r="W26" s="35"/>
      <c r="X26" s="35"/>
    </row>
    <row r="27" customFormat="false" ht="54.75" hidden="false" customHeight="true" outlineLevel="0" collapsed="false">
      <c r="A27" s="28"/>
      <c r="B27" s="29" t="str">
        <f aca="true">IF(C27&lt;&gt;"",TODAY(),"")</f>
        <v/>
      </c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1"/>
      <c r="O27" s="39"/>
      <c r="P27" s="30"/>
      <c r="Q27" s="30"/>
      <c r="R27" s="30"/>
      <c r="S27" s="30"/>
      <c r="T27" s="30"/>
      <c r="U27" s="30"/>
      <c r="V27" s="30"/>
      <c r="W27" s="30"/>
      <c r="X27" s="30"/>
    </row>
    <row r="28" customFormat="false" ht="54.75" hidden="false" customHeight="true" outlineLevel="0" collapsed="false">
      <c r="A28" s="33"/>
      <c r="B28" s="34" t="str">
        <f aca="true">IF(C28&lt;&gt;"",TODAY(),"")</f>
        <v/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6"/>
      <c r="O28" s="38"/>
      <c r="P28" s="35"/>
      <c r="Q28" s="35"/>
      <c r="R28" s="35"/>
      <c r="S28" s="35"/>
      <c r="T28" s="35"/>
      <c r="U28" s="35"/>
      <c r="V28" s="35"/>
      <c r="W28" s="35"/>
      <c r="X28" s="35"/>
    </row>
    <row r="29" customFormat="false" ht="54.75" hidden="false" customHeight="true" outlineLevel="0" collapsed="false">
      <c r="A29" s="28"/>
      <c r="B29" s="29" t="str">
        <f aca="true">IF(C29&lt;&gt;"",TODAY(),"")</f>
        <v/>
      </c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1"/>
      <c r="O29" s="39"/>
      <c r="P29" s="30"/>
      <c r="Q29" s="30"/>
      <c r="R29" s="30"/>
      <c r="S29" s="30"/>
      <c r="T29" s="30"/>
      <c r="U29" s="30"/>
      <c r="V29" s="30"/>
      <c r="W29" s="30"/>
      <c r="X29" s="30"/>
    </row>
    <row r="30" customFormat="false" ht="54.75" hidden="false" customHeight="true" outlineLevel="0" collapsed="false">
      <c r="A30" s="33"/>
      <c r="B30" s="34" t="str">
        <f aca="true">IF(C30&lt;&gt;"",TODAY(),"")</f>
        <v/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6"/>
      <c r="O30" s="38"/>
      <c r="P30" s="35"/>
      <c r="Q30" s="35"/>
      <c r="R30" s="35"/>
      <c r="S30" s="35"/>
      <c r="T30" s="35"/>
      <c r="U30" s="35"/>
      <c r="V30" s="35"/>
      <c r="W30" s="35"/>
      <c r="X30" s="35"/>
    </row>
    <row r="31" customFormat="false" ht="54.75" hidden="false" customHeight="true" outlineLevel="0" collapsed="false">
      <c r="A31" s="28"/>
      <c r="B31" s="29" t="str">
        <f aca="true">IF(C31&lt;&gt;"",TODAY(),"")</f>
        <v/>
      </c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1"/>
      <c r="O31" s="39"/>
      <c r="P31" s="30"/>
      <c r="Q31" s="30"/>
      <c r="R31" s="30"/>
      <c r="S31" s="30"/>
      <c r="T31" s="30"/>
      <c r="U31" s="30"/>
      <c r="V31" s="30"/>
      <c r="W31" s="30"/>
      <c r="X31" s="30"/>
    </row>
    <row r="32" customFormat="false" ht="54.75" hidden="false" customHeight="true" outlineLevel="0" collapsed="false">
      <c r="A32" s="33"/>
      <c r="B32" s="34" t="str">
        <f aca="true">IF(C32&lt;&gt;"",TODAY(),"")</f>
        <v/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6"/>
      <c r="O32" s="38"/>
      <c r="P32" s="35"/>
      <c r="Q32" s="35"/>
      <c r="R32" s="35"/>
      <c r="S32" s="35"/>
      <c r="T32" s="35"/>
      <c r="U32" s="35"/>
      <c r="V32" s="35"/>
      <c r="W32" s="35"/>
      <c r="X32" s="35"/>
    </row>
    <row r="33" customFormat="false" ht="54.75" hidden="false" customHeight="true" outlineLevel="0" collapsed="false">
      <c r="A33" s="28"/>
      <c r="B33" s="29" t="str">
        <f aca="true">IF(C33&lt;&gt;"",TODAY(),"")</f>
        <v/>
      </c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1"/>
      <c r="O33" s="39"/>
      <c r="P33" s="30"/>
      <c r="Q33" s="30"/>
      <c r="R33" s="30"/>
      <c r="S33" s="30"/>
      <c r="T33" s="30"/>
      <c r="U33" s="30"/>
      <c r="V33" s="30"/>
      <c r="W33" s="30"/>
      <c r="X33" s="30"/>
    </row>
    <row r="34" customFormat="false" ht="54.75" hidden="false" customHeight="true" outlineLevel="0" collapsed="false">
      <c r="A34" s="33"/>
      <c r="B34" s="34" t="str">
        <f aca="true">IF(C34&lt;&gt;"",TODAY(),"")</f>
        <v/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6"/>
      <c r="O34" s="38"/>
      <c r="P34" s="35"/>
      <c r="Q34" s="35"/>
      <c r="R34" s="35"/>
      <c r="S34" s="35"/>
      <c r="T34" s="35"/>
      <c r="U34" s="35"/>
      <c r="V34" s="35"/>
      <c r="W34" s="35"/>
      <c r="X34" s="35"/>
    </row>
    <row r="35" customFormat="false" ht="54.75" hidden="false" customHeight="true" outlineLevel="0" collapsed="false">
      <c r="A35" s="28"/>
      <c r="B35" s="29" t="str">
        <f aca="true">IF(C35&lt;&gt;"",TODAY(),"")</f>
        <v/>
      </c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1"/>
      <c r="O35" s="39"/>
      <c r="P35" s="30"/>
      <c r="Q35" s="30"/>
      <c r="R35" s="30"/>
      <c r="S35" s="30"/>
      <c r="T35" s="30"/>
      <c r="U35" s="30"/>
      <c r="V35" s="30"/>
      <c r="W35" s="30"/>
      <c r="X35" s="30"/>
    </row>
    <row r="36" customFormat="false" ht="54.75" hidden="false" customHeight="true" outlineLevel="0" collapsed="false">
      <c r="A36" s="33"/>
      <c r="B36" s="34" t="str">
        <f aca="true">IF(C36&lt;&gt;"",TODAY(),"")</f>
        <v/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6"/>
      <c r="O36" s="38"/>
      <c r="P36" s="35"/>
      <c r="Q36" s="35"/>
      <c r="R36" s="35"/>
      <c r="S36" s="35"/>
      <c r="T36" s="35"/>
      <c r="U36" s="35"/>
      <c r="V36" s="35"/>
      <c r="W36" s="35"/>
      <c r="X36" s="35"/>
    </row>
    <row r="37" customFormat="false" ht="54.75" hidden="false" customHeight="true" outlineLevel="0" collapsed="false">
      <c r="A37" s="28"/>
      <c r="B37" s="29" t="str">
        <f aca="true">IF(C37&lt;&gt;"",TODAY(),"")</f>
        <v/>
      </c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1"/>
      <c r="O37" s="39"/>
      <c r="P37" s="30"/>
      <c r="Q37" s="30"/>
      <c r="R37" s="30"/>
      <c r="S37" s="30"/>
      <c r="T37" s="30"/>
      <c r="U37" s="30"/>
      <c r="V37" s="30"/>
      <c r="W37" s="30"/>
      <c r="X37" s="30"/>
    </row>
    <row r="38" customFormat="false" ht="54.75" hidden="false" customHeight="true" outlineLevel="0" collapsed="false">
      <c r="A38" s="33"/>
      <c r="B38" s="34" t="str">
        <f aca="true">IF(C38&lt;&gt;"",TODAY(),"")</f>
        <v/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6"/>
      <c r="O38" s="38"/>
      <c r="P38" s="35"/>
      <c r="Q38" s="35"/>
      <c r="R38" s="35"/>
      <c r="S38" s="35"/>
      <c r="T38" s="35"/>
      <c r="U38" s="35"/>
      <c r="V38" s="35"/>
      <c r="W38" s="35"/>
      <c r="X38" s="35"/>
    </row>
    <row r="39" customFormat="false" ht="54.75" hidden="false" customHeight="true" outlineLevel="0" collapsed="false">
      <c r="A39" s="28"/>
      <c r="B39" s="29" t="str">
        <f aca="true">IF(C39&lt;&gt;"",TODAY(),"")</f>
        <v/>
      </c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1"/>
      <c r="O39" s="39"/>
      <c r="P39" s="30"/>
      <c r="Q39" s="30"/>
      <c r="R39" s="30"/>
      <c r="S39" s="30"/>
      <c r="T39" s="30"/>
      <c r="U39" s="30"/>
      <c r="V39" s="30"/>
      <c r="W39" s="30"/>
      <c r="X39" s="30"/>
    </row>
    <row r="40" customFormat="false" ht="54.75" hidden="false" customHeight="true" outlineLevel="0" collapsed="false">
      <c r="A40" s="33"/>
      <c r="B40" s="34" t="str">
        <f aca="true">IF(C40&lt;&gt;"",TODAY(),"")</f>
        <v/>
      </c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6"/>
      <c r="O40" s="38"/>
      <c r="P40" s="35"/>
      <c r="Q40" s="35"/>
      <c r="R40" s="35"/>
      <c r="S40" s="35"/>
      <c r="T40" s="35"/>
      <c r="U40" s="35"/>
      <c r="V40" s="35"/>
      <c r="W40" s="35"/>
      <c r="X40" s="35"/>
    </row>
    <row r="41" customFormat="false" ht="54.75" hidden="false" customHeight="true" outlineLevel="0" collapsed="false">
      <c r="A41" s="28"/>
      <c r="B41" s="29" t="str">
        <f aca="true">IF(C41&lt;&gt;"",TODAY(),"")</f>
        <v/>
      </c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1"/>
      <c r="O41" s="39"/>
      <c r="P41" s="30"/>
      <c r="Q41" s="30"/>
      <c r="R41" s="30"/>
      <c r="S41" s="30"/>
      <c r="T41" s="30"/>
      <c r="U41" s="30"/>
      <c r="V41" s="30"/>
      <c r="W41" s="30"/>
      <c r="X41" s="30"/>
    </row>
    <row r="42" customFormat="false" ht="54.75" hidden="false" customHeight="true" outlineLevel="0" collapsed="false">
      <c r="A42" s="33"/>
      <c r="B42" s="34" t="str">
        <f aca="true">IF(C42&lt;&gt;"",TODAY(),"")</f>
        <v/>
      </c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6"/>
      <c r="O42" s="38"/>
      <c r="P42" s="35"/>
      <c r="Q42" s="35"/>
      <c r="R42" s="35"/>
      <c r="S42" s="35"/>
      <c r="T42" s="35"/>
      <c r="U42" s="35"/>
      <c r="V42" s="35"/>
      <c r="W42" s="35"/>
      <c r="X42" s="35"/>
    </row>
    <row r="43" customFormat="false" ht="54.75" hidden="false" customHeight="true" outlineLevel="0" collapsed="false">
      <c r="A43" s="28"/>
      <c r="B43" s="29" t="str">
        <f aca="true">IF(C43&lt;&gt;"",TODAY(),"")</f>
        <v/>
      </c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1"/>
      <c r="O43" s="39"/>
      <c r="P43" s="30"/>
      <c r="Q43" s="30"/>
      <c r="R43" s="30"/>
      <c r="S43" s="30"/>
      <c r="T43" s="30"/>
      <c r="U43" s="30"/>
      <c r="V43" s="30"/>
      <c r="W43" s="30"/>
      <c r="X43" s="30"/>
    </row>
    <row r="44" customFormat="false" ht="54.75" hidden="false" customHeight="true" outlineLevel="0" collapsed="false">
      <c r="A44" s="33"/>
      <c r="B44" s="34" t="str">
        <f aca="true">IF(C44&lt;&gt;"",TODAY(),"")</f>
        <v/>
      </c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6"/>
      <c r="O44" s="38"/>
      <c r="P44" s="35"/>
      <c r="Q44" s="35"/>
      <c r="R44" s="35"/>
      <c r="S44" s="35"/>
      <c r="T44" s="35"/>
      <c r="U44" s="35"/>
      <c r="V44" s="35"/>
      <c r="W44" s="35"/>
      <c r="X44" s="35"/>
    </row>
    <row r="45" customFormat="false" ht="54.75" hidden="false" customHeight="true" outlineLevel="0" collapsed="false">
      <c r="A45" s="28"/>
      <c r="B45" s="29" t="str">
        <f aca="true">IF(C45&lt;&gt;"",TODAY(),"")</f>
        <v/>
      </c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1"/>
      <c r="O45" s="39"/>
      <c r="P45" s="30"/>
      <c r="Q45" s="30"/>
      <c r="R45" s="30"/>
      <c r="S45" s="30"/>
      <c r="T45" s="30"/>
      <c r="U45" s="30"/>
      <c r="V45" s="30"/>
      <c r="W45" s="30"/>
      <c r="X45" s="30"/>
    </row>
    <row r="46" customFormat="false" ht="54.75" hidden="false" customHeight="true" outlineLevel="0" collapsed="false">
      <c r="A46" s="33"/>
      <c r="B46" s="34" t="str">
        <f aca="true">IF(C46&lt;&gt;"",TODAY(),"")</f>
        <v/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6"/>
      <c r="O46" s="38"/>
      <c r="P46" s="35"/>
      <c r="Q46" s="35"/>
      <c r="R46" s="35"/>
      <c r="S46" s="35"/>
      <c r="T46" s="35"/>
      <c r="U46" s="35"/>
      <c r="V46" s="35"/>
      <c r="W46" s="35"/>
      <c r="X46" s="35"/>
    </row>
    <row r="47" customFormat="false" ht="54.75" hidden="false" customHeight="true" outlineLevel="0" collapsed="false">
      <c r="A47" s="28"/>
      <c r="B47" s="29" t="str">
        <f aca="true">IF(C47&lt;&gt;"",TODAY(),"")</f>
        <v/>
      </c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1"/>
      <c r="O47" s="39"/>
      <c r="P47" s="30"/>
      <c r="Q47" s="30"/>
      <c r="R47" s="30"/>
      <c r="S47" s="30"/>
      <c r="T47" s="30"/>
      <c r="U47" s="30"/>
      <c r="V47" s="30"/>
      <c r="W47" s="30"/>
      <c r="X47" s="30"/>
    </row>
    <row r="48" customFormat="false" ht="54.75" hidden="false" customHeight="true" outlineLevel="0" collapsed="false">
      <c r="A48" s="33"/>
      <c r="B48" s="34" t="str">
        <f aca="true">IF(C48&lt;&gt;"",TODAY(),"")</f>
        <v/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6"/>
      <c r="O48" s="38"/>
      <c r="P48" s="35"/>
      <c r="Q48" s="35"/>
      <c r="R48" s="35"/>
      <c r="S48" s="35"/>
      <c r="T48" s="35"/>
      <c r="U48" s="35"/>
      <c r="V48" s="35"/>
      <c r="W48" s="35"/>
      <c r="X48" s="35"/>
    </row>
    <row r="49" customFormat="false" ht="54.75" hidden="false" customHeight="true" outlineLevel="0" collapsed="false">
      <c r="A49" s="28"/>
      <c r="B49" s="29" t="str">
        <f aca="true">IF(C49&lt;&gt;"",TODAY(),"")</f>
        <v/>
      </c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1"/>
      <c r="O49" s="39"/>
      <c r="P49" s="30"/>
      <c r="Q49" s="30"/>
      <c r="R49" s="30"/>
      <c r="S49" s="30"/>
      <c r="T49" s="30"/>
      <c r="U49" s="30"/>
      <c r="V49" s="30"/>
      <c r="W49" s="30"/>
      <c r="X49" s="30"/>
    </row>
    <row r="50" customFormat="false" ht="54.75" hidden="false" customHeight="true" outlineLevel="0" collapsed="false">
      <c r="A50" s="33"/>
      <c r="B50" s="34" t="str">
        <f aca="true">IF(C50&lt;&gt;"",TODAY(),"")</f>
        <v/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6"/>
      <c r="O50" s="38"/>
      <c r="P50" s="35"/>
      <c r="Q50" s="35"/>
      <c r="R50" s="35"/>
      <c r="S50" s="35"/>
      <c r="T50" s="35"/>
      <c r="U50" s="35"/>
      <c r="V50" s="35"/>
      <c r="W50" s="35"/>
      <c r="X50" s="35"/>
    </row>
    <row r="51" customFormat="false" ht="54.75" hidden="false" customHeight="true" outlineLevel="0" collapsed="false">
      <c r="A51" s="28"/>
      <c r="B51" s="29" t="str">
        <f aca="true">IF(C51&lt;&gt;"",TODAY(),"")</f>
        <v/>
      </c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1"/>
      <c r="O51" s="39"/>
      <c r="P51" s="30"/>
      <c r="Q51" s="30"/>
      <c r="R51" s="30"/>
      <c r="S51" s="30"/>
      <c r="T51" s="30"/>
      <c r="U51" s="30"/>
      <c r="V51" s="30"/>
      <c r="W51" s="30"/>
      <c r="X51" s="30"/>
    </row>
    <row r="52" customFormat="false" ht="54.75" hidden="false" customHeight="true" outlineLevel="0" collapsed="false">
      <c r="A52" s="33"/>
      <c r="B52" s="34" t="str">
        <f aca="true">IF(C52&lt;&gt;"",TODAY(),"")</f>
        <v/>
      </c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6"/>
      <c r="O52" s="38"/>
      <c r="P52" s="35"/>
      <c r="Q52" s="35"/>
      <c r="R52" s="35"/>
      <c r="S52" s="35"/>
      <c r="T52" s="35"/>
      <c r="U52" s="35"/>
      <c r="V52" s="35"/>
      <c r="W52" s="35"/>
      <c r="X52" s="35"/>
    </row>
    <row r="53" customFormat="false" ht="54.75" hidden="false" customHeight="true" outlineLevel="0" collapsed="false">
      <c r="A53" s="28"/>
      <c r="B53" s="29" t="str">
        <f aca="true">IF(C53&lt;&gt;"",TODAY(),"")</f>
        <v/>
      </c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1"/>
      <c r="O53" s="39"/>
      <c r="P53" s="30"/>
      <c r="Q53" s="30"/>
      <c r="R53" s="30"/>
      <c r="S53" s="30"/>
      <c r="T53" s="30"/>
      <c r="U53" s="30"/>
      <c r="V53" s="30"/>
      <c r="W53" s="30"/>
      <c r="X53" s="30"/>
    </row>
    <row r="54" customFormat="false" ht="54.75" hidden="false" customHeight="true" outlineLevel="0" collapsed="false">
      <c r="A54" s="33"/>
      <c r="B54" s="34" t="str">
        <f aca="true">IF(C54&lt;&gt;"",TODAY(),"")</f>
        <v/>
      </c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6"/>
      <c r="O54" s="38"/>
      <c r="P54" s="35"/>
      <c r="Q54" s="35"/>
      <c r="R54" s="35"/>
      <c r="S54" s="35"/>
      <c r="T54" s="35"/>
      <c r="U54" s="35"/>
      <c r="V54" s="35"/>
      <c r="W54" s="35"/>
      <c r="X54" s="35"/>
    </row>
    <row r="55" customFormat="false" ht="54.75" hidden="false" customHeight="true" outlineLevel="0" collapsed="false">
      <c r="A55" s="28"/>
      <c r="B55" s="29" t="str">
        <f aca="true">IF(C55&lt;&gt;"",TODAY(),"")</f>
        <v/>
      </c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1"/>
      <c r="O55" s="39"/>
      <c r="P55" s="30"/>
      <c r="Q55" s="30"/>
      <c r="R55" s="30"/>
      <c r="S55" s="30"/>
      <c r="T55" s="30"/>
      <c r="U55" s="30"/>
      <c r="V55" s="30"/>
      <c r="W55" s="30"/>
      <c r="X55" s="30"/>
    </row>
    <row r="56" customFormat="false" ht="54.75" hidden="false" customHeight="true" outlineLevel="0" collapsed="false">
      <c r="A56" s="33"/>
      <c r="B56" s="34" t="str">
        <f aca="true">IF(C56&lt;&gt;"",TODAY(),"")</f>
        <v/>
      </c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6"/>
      <c r="O56" s="38"/>
      <c r="P56" s="35"/>
      <c r="Q56" s="35"/>
      <c r="R56" s="35"/>
      <c r="S56" s="35"/>
      <c r="T56" s="35"/>
      <c r="U56" s="35"/>
      <c r="V56" s="35"/>
      <c r="W56" s="35"/>
      <c r="X56" s="35"/>
    </row>
    <row r="57" customFormat="false" ht="54.75" hidden="false" customHeight="true" outlineLevel="0" collapsed="false">
      <c r="A57" s="28"/>
      <c r="B57" s="29" t="str">
        <f aca="true">IF(C57&lt;&gt;"",TODAY(),"")</f>
        <v/>
      </c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1"/>
      <c r="O57" s="39"/>
      <c r="P57" s="30"/>
      <c r="Q57" s="30"/>
      <c r="R57" s="30"/>
      <c r="S57" s="30"/>
      <c r="T57" s="30"/>
      <c r="U57" s="30"/>
      <c r="V57" s="30"/>
      <c r="W57" s="30"/>
      <c r="X57" s="30"/>
    </row>
    <row r="58" customFormat="false" ht="54.75" hidden="false" customHeight="true" outlineLevel="0" collapsed="false">
      <c r="A58" s="33"/>
      <c r="B58" s="34" t="str">
        <f aca="true">IF(C58&lt;&gt;"",TODAY(),"")</f>
        <v/>
      </c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6"/>
      <c r="O58" s="38"/>
      <c r="P58" s="35"/>
      <c r="Q58" s="35"/>
      <c r="R58" s="35"/>
      <c r="S58" s="35"/>
      <c r="T58" s="35"/>
      <c r="U58" s="35"/>
      <c r="V58" s="35"/>
      <c r="W58" s="35"/>
      <c r="X58" s="35"/>
    </row>
    <row r="59" customFormat="false" ht="54.75" hidden="false" customHeight="true" outlineLevel="0" collapsed="false">
      <c r="A59" s="28"/>
      <c r="B59" s="29" t="str">
        <f aca="true">IF(C59&lt;&gt;"",TODAY(),"")</f>
        <v/>
      </c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1"/>
      <c r="O59" s="39"/>
      <c r="P59" s="30"/>
      <c r="Q59" s="30"/>
      <c r="R59" s="30"/>
      <c r="S59" s="30"/>
      <c r="T59" s="30"/>
      <c r="U59" s="30"/>
      <c r="V59" s="30"/>
      <c r="W59" s="30"/>
      <c r="X59" s="30"/>
    </row>
    <row r="60" customFormat="false" ht="54.75" hidden="false" customHeight="true" outlineLevel="0" collapsed="false">
      <c r="A60" s="33"/>
      <c r="B60" s="34" t="str">
        <f aca="true">IF(C60&lt;&gt;"",TODAY(),"")</f>
        <v/>
      </c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6"/>
      <c r="O60" s="38"/>
      <c r="P60" s="35"/>
      <c r="Q60" s="35"/>
      <c r="R60" s="35"/>
      <c r="S60" s="35"/>
      <c r="T60" s="35"/>
      <c r="U60" s="35"/>
      <c r="V60" s="35"/>
      <c r="W60" s="35"/>
      <c r="X60" s="35"/>
    </row>
    <row r="61" customFormat="false" ht="54.75" hidden="false" customHeight="true" outlineLevel="0" collapsed="false">
      <c r="A61" s="28"/>
      <c r="B61" s="29" t="str">
        <f aca="true">IF(C61&lt;&gt;"",TODAY(),"")</f>
        <v/>
      </c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1"/>
      <c r="O61" s="39"/>
      <c r="P61" s="30"/>
      <c r="Q61" s="30"/>
      <c r="R61" s="30"/>
      <c r="S61" s="30"/>
      <c r="T61" s="30"/>
      <c r="U61" s="30"/>
      <c r="V61" s="30"/>
      <c r="W61" s="30"/>
      <c r="X61" s="30"/>
    </row>
    <row r="62" customFormat="false" ht="54.75" hidden="false" customHeight="true" outlineLevel="0" collapsed="false">
      <c r="A62" s="33"/>
      <c r="B62" s="34" t="str">
        <f aca="true">IF(C62&lt;&gt;"",TODAY(),"")</f>
        <v/>
      </c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6"/>
      <c r="O62" s="38"/>
      <c r="P62" s="35"/>
      <c r="Q62" s="35"/>
      <c r="R62" s="35"/>
      <c r="S62" s="35"/>
      <c r="T62" s="35"/>
      <c r="U62" s="35"/>
      <c r="V62" s="35"/>
      <c r="W62" s="35"/>
      <c r="X62" s="35"/>
    </row>
    <row r="63" customFormat="false" ht="54.75" hidden="false" customHeight="true" outlineLevel="0" collapsed="false">
      <c r="A63" s="28"/>
      <c r="B63" s="29" t="str">
        <f aca="true">IF(C63&lt;&gt;"",TODAY(),"")</f>
        <v/>
      </c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1"/>
      <c r="O63" s="39"/>
      <c r="P63" s="30"/>
      <c r="Q63" s="30"/>
      <c r="R63" s="30"/>
      <c r="S63" s="30"/>
      <c r="T63" s="30"/>
      <c r="U63" s="30"/>
      <c r="V63" s="30"/>
      <c r="W63" s="30"/>
      <c r="X63" s="30"/>
    </row>
    <row r="64" customFormat="false" ht="54.75" hidden="false" customHeight="true" outlineLevel="0" collapsed="false">
      <c r="A64" s="33"/>
      <c r="B64" s="34" t="str">
        <f aca="true">IF(C64&lt;&gt;"",TODAY(),"")</f>
        <v/>
      </c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6"/>
      <c r="O64" s="38"/>
      <c r="P64" s="35"/>
      <c r="Q64" s="35"/>
      <c r="R64" s="35"/>
      <c r="S64" s="35"/>
      <c r="T64" s="35"/>
      <c r="U64" s="35"/>
      <c r="V64" s="35"/>
      <c r="W64" s="35"/>
      <c r="X64" s="35"/>
    </row>
    <row r="65" customFormat="false" ht="54.75" hidden="false" customHeight="true" outlineLevel="0" collapsed="false">
      <c r="A65" s="28"/>
      <c r="B65" s="29" t="str">
        <f aca="true">IF(C65&lt;&gt;"",TODAY(),"")</f>
        <v/>
      </c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1"/>
      <c r="O65" s="39"/>
      <c r="P65" s="30"/>
      <c r="Q65" s="30"/>
      <c r="R65" s="30"/>
      <c r="S65" s="30"/>
      <c r="T65" s="30"/>
      <c r="U65" s="30"/>
      <c r="V65" s="30"/>
      <c r="W65" s="30"/>
      <c r="X65" s="30"/>
    </row>
    <row r="66" customFormat="false" ht="54.75" hidden="false" customHeight="true" outlineLevel="0" collapsed="false">
      <c r="A66" s="33"/>
      <c r="B66" s="34" t="str">
        <f aca="true">IF(C66&lt;&gt;"",TODAY(),"")</f>
        <v/>
      </c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6"/>
      <c r="O66" s="38"/>
      <c r="P66" s="35"/>
      <c r="Q66" s="35"/>
      <c r="R66" s="35"/>
      <c r="S66" s="35"/>
      <c r="T66" s="35"/>
      <c r="U66" s="35"/>
      <c r="V66" s="35"/>
      <c r="W66" s="35"/>
      <c r="X66" s="35"/>
    </row>
    <row r="67" customFormat="false" ht="54.75" hidden="false" customHeight="true" outlineLevel="0" collapsed="false">
      <c r="A67" s="28"/>
      <c r="B67" s="29" t="str">
        <f aca="true">IF(C67&lt;&gt;"",TODAY(),"")</f>
        <v/>
      </c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1"/>
      <c r="O67" s="39"/>
      <c r="P67" s="30"/>
      <c r="Q67" s="30"/>
      <c r="R67" s="30"/>
      <c r="S67" s="30"/>
      <c r="T67" s="30"/>
      <c r="U67" s="30"/>
      <c r="V67" s="30"/>
      <c r="W67" s="30"/>
      <c r="X67" s="30"/>
    </row>
    <row r="68" customFormat="false" ht="54.75" hidden="false" customHeight="true" outlineLevel="0" collapsed="false">
      <c r="A68" s="33"/>
      <c r="B68" s="34" t="str">
        <f aca="true">IF(C68&lt;&gt;"",TODAY(),"")</f>
        <v/>
      </c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6"/>
      <c r="O68" s="38"/>
      <c r="P68" s="35"/>
      <c r="Q68" s="35"/>
      <c r="R68" s="35"/>
      <c r="S68" s="35"/>
      <c r="T68" s="35"/>
      <c r="U68" s="35"/>
      <c r="V68" s="35"/>
      <c r="W68" s="35"/>
      <c r="X68" s="35"/>
    </row>
    <row r="69" customFormat="false" ht="54.75" hidden="false" customHeight="true" outlineLevel="0" collapsed="false">
      <c r="A69" s="28"/>
      <c r="B69" s="29" t="str">
        <f aca="true">IF(C69&lt;&gt;"",TODAY(),"")</f>
        <v/>
      </c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1"/>
      <c r="O69" s="39"/>
      <c r="P69" s="30"/>
      <c r="Q69" s="30"/>
      <c r="R69" s="30"/>
      <c r="S69" s="30"/>
      <c r="T69" s="30"/>
      <c r="U69" s="30"/>
      <c r="V69" s="30"/>
      <c r="W69" s="30"/>
      <c r="X69" s="30"/>
    </row>
    <row r="70" customFormat="false" ht="54.75" hidden="false" customHeight="true" outlineLevel="0" collapsed="false">
      <c r="A70" s="33"/>
      <c r="B70" s="34" t="str">
        <f aca="true">IF(C70&lt;&gt;"",TODAY(),"")</f>
        <v/>
      </c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6"/>
      <c r="O70" s="38"/>
      <c r="P70" s="35"/>
      <c r="Q70" s="35"/>
      <c r="R70" s="35"/>
      <c r="S70" s="35"/>
      <c r="T70" s="35"/>
      <c r="U70" s="35"/>
      <c r="V70" s="35"/>
      <c r="W70" s="35"/>
      <c r="X70" s="35"/>
    </row>
    <row r="71" customFormat="false" ht="54.75" hidden="false" customHeight="true" outlineLevel="0" collapsed="false">
      <c r="A71" s="28"/>
      <c r="B71" s="29" t="str">
        <f aca="true">IF(C71&lt;&gt;"",TODAY(),"")</f>
        <v/>
      </c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1"/>
      <c r="O71" s="39"/>
      <c r="P71" s="30"/>
      <c r="Q71" s="30"/>
      <c r="R71" s="30"/>
      <c r="S71" s="30"/>
      <c r="T71" s="30"/>
      <c r="U71" s="30"/>
      <c r="V71" s="30"/>
      <c r="W71" s="30"/>
      <c r="X71" s="30"/>
    </row>
    <row r="72" customFormat="false" ht="54.75" hidden="false" customHeight="true" outlineLevel="0" collapsed="false">
      <c r="A72" s="33"/>
      <c r="B72" s="34" t="str">
        <f aca="true">IF(C72&lt;&gt;"",TODAY(),"")</f>
        <v/>
      </c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6"/>
      <c r="O72" s="38"/>
      <c r="P72" s="35"/>
      <c r="Q72" s="35"/>
      <c r="R72" s="35"/>
      <c r="S72" s="35"/>
      <c r="T72" s="35"/>
      <c r="U72" s="35"/>
      <c r="V72" s="35"/>
      <c r="W72" s="35"/>
      <c r="X72" s="35"/>
    </row>
    <row r="73" customFormat="false" ht="54.75" hidden="false" customHeight="true" outlineLevel="0" collapsed="false">
      <c r="A73" s="28"/>
      <c r="B73" s="29" t="str">
        <f aca="true">IF(C73&lt;&gt;"",TODAY(),"")</f>
        <v/>
      </c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1"/>
      <c r="O73" s="39"/>
      <c r="P73" s="30"/>
      <c r="Q73" s="30"/>
      <c r="R73" s="30"/>
      <c r="S73" s="30"/>
      <c r="T73" s="30"/>
      <c r="U73" s="30"/>
      <c r="V73" s="30"/>
      <c r="W73" s="30"/>
      <c r="X73" s="30"/>
    </row>
    <row r="74" customFormat="false" ht="54.75" hidden="false" customHeight="true" outlineLevel="0" collapsed="false">
      <c r="A74" s="33"/>
      <c r="B74" s="34" t="str">
        <f aca="true">IF(C74&lt;&gt;"",TODAY(),"")</f>
        <v/>
      </c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6"/>
      <c r="O74" s="38"/>
      <c r="P74" s="35"/>
      <c r="Q74" s="35"/>
      <c r="R74" s="35"/>
      <c r="S74" s="35"/>
      <c r="T74" s="35"/>
      <c r="U74" s="35"/>
      <c r="V74" s="35"/>
      <c r="W74" s="35"/>
      <c r="X74" s="35"/>
    </row>
    <row r="75" customFormat="false" ht="54.75" hidden="false" customHeight="true" outlineLevel="0" collapsed="false">
      <c r="A75" s="28"/>
      <c r="B75" s="29" t="str">
        <f aca="true">IF(C75&lt;&gt;"",TODAY(),"")</f>
        <v/>
      </c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1"/>
      <c r="O75" s="39"/>
      <c r="P75" s="30"/>
      <c r="Q75" s="30"/>
      <c r="R75" s="30"/>
      <c r="S75" s="30"/>
      <c r="T75" s="30"/>
      <c r="U75" s="30"/>
      <c r="V75" s="30"/>
      <c r="W75" s="30"/>
      <c r="X75" s="30"/>
    </row>
    <row r="76" customFormat="false" ht="54.75" hidden="false" customHeight="true" outlineLevel="0" collapsed="false">
      <c r="A76" s="33"/>
      <c r="B76" s="34" t="str">
        <f aca="true">IF(C76&lt;&gt;"",TODAY(),"")</f>
        <v/>
      </c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6"/>
      <c r="O76" s="38"/>
      <c r="P76" s="35"/>
      <c r="Q76" s="35"/>
      <c r="R76" s="35"/>
      <c r="S76" s="35"/>
      <c r="T76" s="35"/>
      <c r="U76" s="35"/>
      <c r="V76" s="35"/>
      <c r="W76" s="35"/>
      <c r="X76" s="35"/>
    </row>
    <row r="77" customFormat="false" ht="54.75" hidden="false" customHeight="true" outlineLevel="0" collapsed="false">
      <c r="A77" s="28"/>
      <c r="B77" s="29" t="str">
        <f aca="true">IF(C77&lt;&gt;"",TODAY(),"")</f>
        <v/>
      </c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1"/>
      <c r="O77" s="39"/>
      <c r="P77" s="30"/>
      <c r="Q77" s="30"/>
      <c r="R77" s="30"/>
      <c r="S77" s="30"/>
      <c r="T77" s="30"/>
      <c r="U77" s="30"/>
      <c r="V77" s="30"/>
      <c r="W77" s="30"/>
      <c r="X77" s="30"/>
    </row>
    <row r="78" customFormat="false" ht="54.75" hidden="false" customHeight="true" outlineLevel="0" collapsed="false">
      <c r="A78" s="33"/>
      <c r="B78" s="34" t="str">
        <f aca="true">IF(C78&lt;&gt;"",TODAY(),"")</f>
        <v/>
      </c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6"/>
      <c r="O78" s="38"/>
      <c r="P78" s="35"/>
      <c r="Q78" s="35"/>
      <c r="R78" s="35"/>
      <c r="S78" s="35"/>
      <c r="T78" s="35"/>
      <c r="U78" s="35"/>
      <c r="V78" s="35"/>
      <c r="W78" s="35"/>
      <c r="X78" s="35"/>
    </row>
    <row r="79" customFormat="false" ht="54.75" hidden="false" customHeight="true" outlineLevel="0" collapsed="false">
      <c r="A79" s="28"/>
      <c r="B79" s="29" t="str">
        <f aca="true">IF(C79&lt;&gt;"",TODAY(),"")</f>
        <v/>
      </c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1"/>
      <c r="O79" s="39"/>
      <c r="P79" s="30"/>
      <c r="Q79" s="30"/>
      <c r="R79" s="30"/>
      <c r="S79" s="30"/>
      <c r="T79" s="30"/>
      <c r="U79" s="30"/>
      <c r="V79" s="30"/>
      <c r="W79" s="30"/>
      <c r="X79" s="30"/>
    </row>
    <row r="80" customFormat="false" ht="54.75" hidden="false" customHeight="true" outlineLevel="0" collapsed="false">
      <c r="A80" s="33"/>
      <c r="B80" s="34" t="str">
        <f aca="true">IF(C80&lt;&gt;"",TODAY(),"")</f>
        <v/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6"/>
      <c r="O80" s="38"/>
      <c r="P80" s="35"/>
      <c r="Q80" s="35"/>
      <c r="R80" s="35"/>
      <c r="S80" s="35"/>
      <c r="T80" s="35"/>
      <c r="U80" s="35"/>
      <c r="V80" s="35"/>
      <c r="W80" s="35"/>
      <c r="X80" s="35"/>
    </row>
    <row r="81" customFormat="false" ht="54.75" hidden="false" customHeight="true" outlineLevel="0" collapsed="false">
      <c r="A81" s="28"/>
      <c r="B81" s="29" t="str">
        <f aca="true">IF(C81&lt;&gt;"",TODAY(),"")</f>
        <v/>
      </c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1"/>
      <c r="O81" s="39"/>
      <c r="P81" s="30"/>
      <c r="Q81" s="30"/>
      <c r="R81" s="30"/>
      <c r="S81" s="30"/>
      <c r="T81" s="30"/>
      <c r="U81" s="30"/>
      <c r="V81" s="30"/>
      <c r="W81" s="30"/>
      <c r="X81" s="30"/>
    </row>
    <row r="82" customFormat="false" ht="54.75" hidden="false" customHeight="true" outlineLevel="0" collapsed="false">
      <c r="A82" s="33"/>
      <c r="B82" s="34" t="str">
        <f aca="true">IF(C82&lt;&gt;"",TODAY(),"")</f>
        <v/>
      </c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6"/>
      <c r="O82" s="38"/>
      <c r="P82" s="35"/>
      <c r="Q82" s="35"/>
      <c r="R82" s="35"/>
      <c r="S82" s="35"/>
      <c r="T82" s="35"/>
      <c r="U82" s="35"/>
      <c r="V82" s="35"/>
      <c r="W82" s="35"/>
      <c r="X82" s="35"/>
    </row>
    <row r="83" customFormat="false" ht="54.75" hidden="false" customHeight="true" outlineLevel="0" collapsed="false">
      <c r="A83" s="28"/>
      <c r="B83" s="29" t="str">
        <f aca="true">IF(C83&lt;&gt;"",TODAY(),"")</f>
        <v/>
      </c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1"/>
      <c r="O83" s="39"/>
      <c r="P83" s="30"/>
      <c r="Q83" s="30"/>
      <c r="R83" s="30"/>
      <c r="S83" s="30"/>
      <c r="T83" s="30"/>
      <c r="U83" s="30"/>
      <c r="V83" s="30"/>
      <c r="W83" s="30"/>
      <c r="X83" s="30"/>
    </row>
    <row r="84" customFormat="false" ht="54.75" hidden="false" customHeight="true" outlineLevel="0" collapsed="false">
      <c r="A84" s="33"/>
      <c r="B84" s="34" t="str">
        <f aca="true">IF(C84&lt;&gt;"",TODAY(),"")</f>
        <v/>
      </c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6"/>
      <c r="O84" s="38"/>
      <c r="P84" s="35"/>
      <c r="Q84" s="35"/>
      <c r="R84" s="35"/>
      <c r="S84" s="35"/>
      <c r="T84" s="35"/>
      <c r="U84" s="35"/>
      <c r="V84" s="35"/>
      <c r="W84" s="35"/>
      <c r="X84" s="35"/>
    </row>
    <row r="85" customFormat="false" ht="54.75" hidden="false" customHeight="true" outlineLevel="0" collapsed="false">
      <c r="A85" s="28"/>
      <c r="B85" s="29" t="str">
        <f aca="true">IF(C85&lt;&gt;"",TODAY(),"")</f>
        <v/>
      </c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1"/>
      <c r="O85" s="39"/>
      <c r="P85" s="30"/>
      <c r="Q85" s="30"/>
      <c r="R85" s="30"/>
      <c r="S85" s="30"/>
      <c r="T85" s="30"/>
      <c r="U85" s="30"/>
      <c r="V85" s="30"/>
      <c r="W85" s="30"/>
      <c r="X85" s="30"/>
    </row>
    <row r="86" customFormat="false" ht="54.75" hidden="false" customHeight="true" outlineLevel="0" collapsed="false">
      <c r="A86" s="33"/>
      <c r="B86" s="34" t="str">
        <f aca="true">IF(C86&lt;&gt;"",TODAY(),"")</f>
        <v/>
      </c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6"/>
      <c r="O86" s="38"/>
      <c r="P86" s="35"/>
      <c r="Q86" s="35"/>
      <c r="R86" s="35"/>
      <c r="S86" s="35"/>
      <c r="T86" s="35"/>
      <c r="U86" s="35"/>
      <c r="V86" s="35"/>
      <c r="W86" s="35"/>
      <c r="X86" s="35"/>
    </row>
    <row r="87" customFormat="false" ht="54.75" hidden="false" customHeight="true" outlineLevel="0" collapsed="false">
      <c r="A87" s="28"/>
      <c r="B87" s="29" t="str">
        <f aca="true">IF(C87&lt;&gt;"",TODAY(),"")</f>
        <v/>
      </c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1"/>
      <c r="O87" s="39"/>
      <c r="P87" s="30"/>
      <c r="Q87" s="30"/>
      <c r="R87" s="30"/>
      <c r="S87" s="30"/>
      <c r="T87" s="30"/>
      <c r="U87" s="30"/>
      <c r="V87" s="30"/>
      <c r="W87" s="30"/>
      <c r="X87" s="30"/>
    </row>
    <row r="88" customFormat="false" ht="54.75" hidden="false" customHeight="true" outlineLevel="0" collapsed="false">
      <c r="A88" s="33"/>
      <c r="B88" s="34" t="str">
        <f aca="true">IF(C88&lt;&gt;"",TODAY(),"")</f>
        <v/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6"/>
      <c r="O88" s="38"/>
      <c r="P88" s="35"/>
      <c r="Q88" s="35"/>
      <c r="R88" s="35"/>
      <c r="S88" s="35"/>
      <c r="T88" s="35"/>
      <c r="U88" s="35"/>
      <c r="V88" s="35"/>
      <c r="W88" s="35"/>
      <c r="X88" s="35"/>
    </row>
    <row r="89" customFormat="false" ht="54.75" hidden="false" customHeight="true" outlineLevel="0" collapsed="false">
      <c r="A89" s="28"/>
      <c r="B89" s="29" t="str">
        <f aca="true">IF(C89&lt;&gt;"",TODAY(),"")</f>
        <v/>
      </c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1"/>
      <c r="O89" s="39"/>
      <c r="P89" s="30"/>
      <c r="Q89" s="30"/>
      <c r="R89" s="30"/>
      <c r="S89" s="30"/>
      <c r="T89" s="30"/>
      <c r="U89" s="30"/>
      <c r="V89" s="30"/>
      <c r="W89" s="30"/>
      <c r="X89" s="30"/>
    </row>
    <row r="90" customFormat="false" ht="54.75" hidden="false" customHeight="true" outlineLevel="0" collapsed="false">
      <c r="A90" s="33"/>
      <c r="B90" s="34" t="str">
        <f aca="true">IF(C90&lt;&gt;"",TODAY(),"")</f>
        <v/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6"/>
      <c r="O90" s="38"/>
      <c r="P90" s="35"/>
      <c r="Q90" s="35"/>
      <c r="R90" s="35"/>
      <c r="S90" s="35"/>
      <c r="T90" s="35"/>
      <c r="U90" s="35"/>
      <c r="V90" s="35"/>
      <c r="W90" s="35"/>
      <c r="X90" s="35"/>
    </row>
    <row r="91" customFormat="false" ht="54.75" hidden="false" customHeight="true" outlineLevel="0" collapsed="false">
      <c r="A91" s="28"/>
      <c r="B91" s="29" t="str">
        <f aca="true">IF(C91&lt;&gt;"",TODAY(),"")</f>
        <v/>
      </c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1"/>
      <c r="O91" s="39"/>
      <c r="P91" s="30"/>
      <c r="Q91" s="30"/>
      <c r="R91" s="30"/>
      <c r="S91" s="30"/>
      <c r="T91" s="30"/>
      <c r="U91" s="30"/>
      <c r="V91" s="30"/>
      <c r="W91" s="30"/>
      <c r="X91" s="30"/>
    </row>
    <row r="92" customFormat="false" ht="54.75" hidden="false" customHeight="true" outlineLevel="0" collapsed="false">
      <c r="A92" s="33"/>
      <c r="B92" s="34" t="str">
        <f aca="true">IF(C92&lt;&gt;"",TODAY(),"")</f>
        <v/>
      </c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6"/>
      <c r="O92" s="38"/>
      <c r="P92" s="35"/>
      <c r="Q92" s="35"/>
      <c r="R92" s="35"/>
      <c r="S92" s="35"/>
      <c r="T92" s="35"/>
      <c r="U92" s="35"/>
      <c r="V92" s="35"/>
      <c r="W92" s="35"/>
      <c r="X92" s="35"/>
    </row>
    <row r="93" customFormat="false" ht="54.75" hidden="false" customHeight="true" outlineLevel="0" collapsed="false">
      <c r="A93" s="28"/>
      <c r="B93" s="29" t="str">
        <f aca="true">IF(C93&lt;&gt;"",TODAY(),"")</f>
        <v/>
      </c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1"/>
      <c r="O93" s="39"/>
      <c r="P93" s="30"/>
      <c r="Q93" s="30"/>
      <c r="R93" s="30"/>
      <c r="S93" s="30"/>
      <c r="T93" s="30"/>
      <c r="U93" s="30"/>
      <c r="V93" s="30"/>
      <c r="W93" s="30"/>
      <c r="X93" s="30"/>
    </row>
    <row r="94" customFormat="false" ht="54.75" hidden="false" customHeight="true" outlineLevel="0" collapsed="false">
      <c r="A94" s="33"/>
      <c r="B94" s="34" t="str">
        <f aca="true">IF(C94&lt;&gt;"",TODAY(),"")</f>
        <v/>
      </c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6"/>
      <c r="O94" s="38"/>
      <c r="P94" s="35"/>
      <c r="Q94" s="35"/>
      <c r="R94" s="35"/>
      <c r="S94" s="35"/>
      <c r="T94" s="35"/>
      <c r="U94" s="35"/>
      <c r="V94" s="35"/>
      <c r="W94" s="35"/>
      <c r="X94" s="35"/>
    </row>
    <row r="95" customFormat="false" ht="54.75" hidden="false" customHeight="true" outlineLevel="0" collapsed="false">
      <c r="A95" s="28"/>
      <c r="B95" s="29" t="str">
        <f aca="true">IF(C95&lt;&gt;"",TODAY(),"")</f>
        <v/>
      </c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1"/>
      <c r="O95" s="39"/>
      <c r="P95" s="30"/>
      <c r="Q95" s="30"/>
      <c r="R95" s="30"/>
      <c r="S95" s="30"/>
      <c r="T95" s="30"/>
      <c r="U95" s="30"/>
      <c r="V95" s="30"/>
      <c r="W95" s="30"/>
      <c r="X95" s="30"/>
    </row>
    <row r="96" customFormat="false" ht="54.75" hidden="false" customHeight="true" outlineLevel="0" collapsed="false">
      <c r="A96" s="33"/>
      <c r="B96" s="34" t="str">
        <f aca="true">IF(C96&lt;&gt;"",TODAY(),"")</f>
        <v/>
      </c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6"/>
      <c r="O96" s="38"/>
      <c r="P96" s="35"/>
      <c r="Q96" s="35"/>
      <c r="R96" s="35"/>
      <c r="S96" s="35"/>
      <c r="T96" s="35"/>
      <c r="U96" s="35"/>
      <c r="V96" s="35"/>
      <c r="W96" s="35"/>
      <c r="X96" s="35"/>
    </row>
    <row r="97" customFormat="false" ht="54.75" hidden="false" customHeight="true" outlineLevel="0" collapsed="false">
      <c r="A97" s="28"/>
      <c r="B97" s="29" t="str">
        <f aca="true">IF(C97&lt;&gt;"",TODAY(),"")</f>
        <v/>
      </c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1"/>
      <c r="O97" s="39"/>
      <c r="P97" s="30"/>
      <c r="Q97" s="30"/>
      <c r="R97" s="30"/>
      <c r="S97" s="30"/>
      <c r="T97" s="30"/>
      <c r="U97" s="30"/>
      <c r="V97" s="30"/>
      <c r="W97" s="30"/>
      <c r="X97" s="30"/>
    </row>
    <row r="98" customFormat="false" ht="54.75" hidden="false" customHeight="true" outlineLevel="0" collapsed="false">
      <c r="A98" s="33"/>
      <c r="B98" s="34" t="str">
        <f aca="true">IF(C98&lt;&gt;"",TODAY(),"")</f>
        <v/>
      </c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6"/>
      <c r="O98" s="38"/>
      <c r="P98" s="35"/>
      <c r="Q98" s="35"/>
      <c r="R98" s="35"/>
      <c r="S98" s="35"/>
      <c r="T98" s="35"/>
      <c r="U98" s="35"/>
      <c r="V98" s="35"/>
      <c r="W98" s="35"/>
      <c r="X98" s="35"/>
    </row>
    <row r="99" customFormat="false" ht="54.75" hidden="false" customHeight="true" outlineLevel="0" collapsed="false">
      <c r="A99" s="28"/>
      <c r="B99" s="29" t="str">
        <f aca="true">IF(C99&lt;&gt;"",TODAY(),"")</f>
        <v/>
      </c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1"/>
      <c r="O99" s="39"/>
      <c r="P99" s="30"/>
      <c r="Q99" s="30"/>
      <c r="R99" s="30"/>
      <c r="S99" s="30"/>
      <c r="T99" s="30"/>
      <c r="U99" s="30"/>
      <c r="V99" s="30"/>
      <c r="W99" s="30"/>
      <c r="X99" s="30"/>
    </row>
    <row r="100" customFormat="false" ht="54.75" hidden="false" customHeight="true" outlineLevel="0" collapsed="false">
      <c r="A100" s="33"/>
      <c r="B100" s="34" t="str">
        <f aca="true">IF(C100&lt;&gt;"",TODAY(),"")</f>
        <v/>
      </c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6"/>
      <c r="O100" s="38"/>
      <c r="P100" s="35"/>
      <c r="Q100" s="35"/>
      <c r="R100" s="35"/>
      <c r="S100" s="35"/>
      <c r="T100" s="35"/>
      <c r="U100" s="35"/>
      <c r="V100" s="35"/>
      <c r="W100" s="35"/>
      <c r="X100" s="35"/>
    </row>
    <row r="101" customFormat="false" ht="54.75" hidden="false" customHeight="true" outlineLevel="0" collapsed="false">
      <c r="A101" s="28"/>
      <c r="B101" s="29" t="str">
        <f aca="true">IF(C101&lt;&gt;"",TODAY(),"")</f>
        <v/>
      </c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1"/>
      <c r="O101" s="39"/>
      <c r="P101" s="30"/>
      <c r="Q101" s="30"/>
      <c r="R101" s="30"/>
      <c r="S101" s="30"/>
      <c r="T101" s="30"/>
      <c r="U101" s="30"/>
      <c r="V101" s="30"/>
      <c r="W101" s="30"/>
      <c r="X101" s="30"/>
    </row>
    <row r="102" customFormat="false" ht="54.75" hidden="false" customHeight="true" outlineLevel="0" collapsed="false">
      <c r="A102" s="33"/>
      <c r="B102" s="34" t="str">
        <f aca="true">IF(C102&lt;&gt;"",TODAY(),"")</f>
        <v/>
      </c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6"/>
      <c r="O102" s="38"/>
      <c r="P102" s="35"/>
      <c r="Q102" s="35"/>
      <c r="R102" s="35"/>
      <c r="S102" s="35"/>
      <c r="T102" s="35"/>
      <c r="U102" s="35"/>
      <c r="V102" s="35"/>
      <c r="W102" s="35"/>
      <c r="X102" s="35"/>
    </row>
    <row r="103" customFormat="false" ht="54.75" hidden="false" customHeight="true" outlineLevel="0" collapsed="false">
      <c r="A103" s="28"/>
      <c r="B103" s="29" t="str">
        <f aca="true">IF(C103&lt;&gt;"",TODAY(),"")</f>
        <v/>
      </c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1"/>
      <c r="O103" s="39"/>
      <c r="P103" s="30"/>
      <c r="Q103" s="30"/>
      <c r="R103" s="30"/>
      <c r="S103" s="30"/>
      <c r="T103" s="30"/>
      <c r="U103" s="30"/>
      <c r="V103" s="30"/>
      <c r="W103" s="30"/>
      <c r="X103" s="30"/>
    </row>
    <row r="104" customFormat="false" ht="54.75" hidden="false" customHeight="true" outlineLevel="0" collapsed="false">
      <c r="A104" s="33"/>
      <c r="B104" s="34" t="str">
        <f aca="true">IF(C104&lt;&gt;"",TODAY(),"")</f>
        <v/>
      </c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6"/>
      <c r="O104" s="38"/>
      <c r="P104" s="35"/>
      <c r="Q104" s="35"/>
      <c r="R104" s="35"/>
      <c r="S104" s="35"/>
      <c r="T104" s="35"/>
      <c r="U104" s="35"/>
      <c r="V104" s="35"/>
      <c r="W104" s="35"/>
      <c r="X104" s="35"/>
    </row>
    <row r="105" customFormat="false" ht="54.75" hidden="false" customHeight="true" outlineLevel="0" collapsed="false">
      <c r="A105" s="28"/>
      <c r="B105" s="29" t="str">
        <f aca="true">IF(C105&lt;&gt;"",TODAY(),"")</f>
        <v/>
      </c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1"/>
      <c r="O105" s="39"/>
      <c r="P105" s="30"/>
      <c r="Q105" s="30"/>
      <c r="R105" s="30"/>
      <c r="S105" s="30"/>
      <c r="T105" s="30"/>
      <c r="U105" s="30"/>
      <c r="V105" s="30"/>
      <c r="W105" s="30"/>
      <c r="X105" s="30"/>
    </row>
    <row r="106" customFormat="false" ht="54.75" hidden="false" customHeight="true" outlineLevel="0" collapsed="false">
      <c r="A106" s="33"/>
      <c r="B106" s="34" t="str">
        <f aca="true">IF(C106&lt;&gt;"",TODAY(),"")</f>
        <v/>
      </c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6"/>
      <c r="O106" s="38"/>
      <c r="P106" s="35"/>
      <c r="Q106" s="35"/>
      <c r="R106" s="35"/>
      <c r="S106" s="35"/>
      <c r="T106" s="35"/>
      <c r="U106" s="35"/>
      <c r="V106" s="35"/>
      <c r="W106" s="35"/>
      <c r="X106" s="35"/>
    </row>
    <row r="107" customFormat="false" ht="54.75" hidden="false" customHeight="true" outlineLevel="0" collapsed="false">
      <c r="A107" s="28"/>
      <c r="B107" s="29" t="str">
        <f aca="true">IF(C107&lt;&gt;"",TODAY(),"")</f>
        <v/>
      </c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1"/>
      <c r="O107" s="39"/>
      <c r="P107" s="30"/>
      <c r="Q107" s="30"/>
      <c r="R107" s="30"/>
      <c r="S107" s="30"/>
      <c r="T107" s="30"/>
      <c r="U107" s="30"/>
      <c r="V107" s="30"/>
      <c r="W107" s="30"/>
      <c r="X107" s="30"/>
    </row>
    <row r="108" customFormat="false" ht="54.75" hidden="false" customHeight="true" outlineLevel="0" collapsed="false">
      <c r="A108" s="33"/>
      <c r="B108" s="34" t="str">
        <f aca="true">IF(C108&lt;&gt;"",TODAY(),"")</f>
        <v/>
      </c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6"/>
      <c r="O108" s="38"/>
      <c r="P108" s="35"/>
      <c r="Q108" s="35"/>
      <c r="R108" s="35"/>
      <c r="S108" s="35"/>
      <c r="T108" s="35"/>
      <c r="U108" s="35"/>
      <c r="V108" s="35"/>
      <c r="W108" s="35"/>
      <c r="X108" s="35"/>
    </row>
    <row r="109" customFormat="false" ht="54.75" hidden="false" customHeight="true" outlineLevel="0" collapsed="false">
      <c r="A109" s="28"/>
      <c r="B109" s="29" t="str">
        <f aca="true">IF(C109&lt;&gt;"",TODAY(),"")</f>
        <v/>
      </c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1"/>
      <c r="O109" s="39"/>
      <c r="P109" s="30"/>
      <c r="Q109" s="30"/>
      <c r="R109" s="30"/>
      <c r="S109" s="30"/>
      <c r="T109" s="30"/>
      <c r="U109" s="30"/>
      <c r="V109" s="30"/>
      <c r="W109" s="30"/>
      <c r="X109" s="30"/>
    </row>
    <row r="110" customFormat="false" ht="54.75" hidden="false" customHeight="true" outlineLevel="0" collapsed="false">
      <c r="A110" s="33"/>
      <c r="B110" s="34" t="str">
        <f aca="true">IF(C110&lt;&gt;"",TODAY(),"")</f>
        <v/>
      </c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6"/>
      <c r="O110" s="38"/>
      <c r="P110" s="35"/>
      <c r="Q110" s="35"/>
      <c r="R110" s="35"/>
      <c r="S110" s="35"/>
      <c r="T110" s="35"/>
      <c r="U110" s="35"/>
      <c r="V110" s="35"/>
      <c r="W110" s="35"/>
      <c r="X110" s="35"/>
    </row>
    <row r="111" customFormat="false" ht="54.75" hidden="false" customHeight="true" outlineLevel="0" collapsed="false">
      <c r="A111" s="28"/>
      <c r="B111" s="29" t="str">
        <f aca="true">IF(C111&lt;&gt;"",TODAY(),"")</f>
        <v/>
      </c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1"/>
      <c r="O111" s="39"/>
      <c r="P111" s="30"/>
      <c r="Q111" s="30"/>
      <c r="R111" s="30"/>
      <c r="S111" s="30"/>
      <c r="T111" s="30"/>
      <c r="U111" s="30"/>
      <c r="V111" s="30"/>
      <c r="W111" s="30"/>
      <c r="X111" s="30"/>
    </row>
    <row r="112" customFormat="false" ht="54.75" hidden="false" customHeight="true" outlineLevel="0" collapsed="false">
      <c r="A112" s="33"/>
      <c r="B112" s="34" t="str">
        <f aca="true">IF(C112&lt;&gt;"",TODAY(),"")</f>
        <v/>
      </c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6"/>
      <c r="O112" s="38"/>
      <c r="P112" s="35"/>
      <c r="Q112" s="35"/>
      <c r="R112" s="35"/>
      <c r="S112" s="35"/>
      <c r="T112" s="35"/>
      <c r="U112" s="35"/>
      <c r="V112" s="35"/>
      <c r="W112" s="35"/>
      <c r="X112" s="35"/>
    </row>
    <row r="113" customFormat="false" ht="54.75" hidden="false" customHeight="true" outlineLevel="0" collapsed="false">
      <c r="A113" s="28"/>
      <c r="B113" s="29" t="str">
        <f aca="true">IF(C113&lt;&gt;"",TODAY(),"")</f>
        <v/>
      </c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1"/>
      <c r="O113" s="39"/>
      <c r="P113" s="30"/>
      <c r="Q113" s="30"/>
      <c r="R113" s="30"/>
      <c r="S113" s="30"/>
      <c r="T113" s="30"/>
      <c r="U113" s="30"/>
      <c r="V113" s="30"/>
      <c r="W113" s="30"/>
      <c r="X113" s="30"/>
    </row>
    <row r="114" customFormat="false" ht="54.75" hidden="false" customHeight="true" outlineLevel="0" collapsed="false">
      <c r="A114" s="33"/>
      <c r="B114" s="34" t="str">
        <f aca="true">IF(C114&lt;&gt;"",TODAY(),"")</f>
        <v/>
      </c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6"/>
      <c r="O114" s="38"/>
      <c r="P114" s="35"/>
      <c r="Q114" s="35"/>
      <c r="R114" s="35"/>
      <c r="S114" s="35"/>
      <c r="T114" s="35"/>
      <c r="U114" s="35"/>
      <c r="V114" s="35"/>
      <c r="W114" s="35"/>
      <c r="X114" s="35"/>
    </row>
    <row r="115" customFormat="false" ht="54.75" hidden="false" customHeight="true" outlineLevel="0" collapsed="false">
      <c r="A115" s="28"/>
      <c r="B115" s="29" t="str">
        <f aca="true">IF(C115&lt;&gt;"",TODAY(),"")</f>
        <v/>
      </c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1"/>
      <c r="O115" s="39"/>
      <c r="P115" s="30"/>
      <c r="Q115" s="30"/>
      <c r="R115" s="30"/>
      <c r="S115" s="30"/>
      <c r="T115" s="30"/>
      <c r="U115" s="30"/>
      <c r="V115" s="30"/>
      <c r="W115" s="30"/>
      <c r="X115" s="30"/>
    </row>
    <row r="116" customFormat="false" ht="54.75" hidden="false" customHeight="true" outlineLevel="0" collapsed="false">
      <c r="A116" s="33"/>
      <c r="B116" s="34" t="str">
        <f aca="true">IF(C116&lt;&gt;"",TODAY(),"")</f>
        <v/>
      </c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6"/>
      <c r="O116" s="38"/>
      <c r="P116" s="35"/>
      <c r="Q116" s="35"/>
      <c r="R116" s="35"/>
      <c r="S116" s="35"/>
      <c r="T116" s="35"/>
      <c r="U116" s="35"/>
      <c r="V116" s="35"/>
      <c r="W116" s="35"/>
      <c r="X116" s="35"/>
    </row>
    <row r="117" customFormat="false" ht="54.75" hidden="false" customHeight="true" outlineLevel="0" collapsed="false">
      <c r="A117" s="28"/>
      <c r="B117" s="29" t="str">
        <f aca="true">IF(C117&lt;&gt;"",TODAY(),"")</f>
        <v/>
      </c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1"/>
      <c r="O117" s="39"/>
      <c r="P117" s="30"/>
      <c r="Q117" s="30"/>
      <c r="R117" s="30"/>
      <c r="S117" s="30"/>
      <c r="T117" s="30"/>
      <c r="U117" s="30"/>
      <c r="V117" s="30"/>
      <c r="W117" s="30"/>
      <c r="X117" s="30"/>
    </row>
    <row r="118" customFormat="false" ht="54.75" hidden="false" customHeight="true" outlineLevel="0" collapsed="false">
      <c r="A118" s="33"/>
      <c r="B118" s="34" t="str">
        <f aca="true">IF(C118&lt;&gt;"",TODAY(),"")</f>
        <v/>
      </c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6"/>
      <c r="O118" s="38"/>
      <c r="P118" s="35"/>
      <c r="Q118" s="35"/>
      <c r="R118" s="35"/>
      <c r="S118" s="35"/>
      <c r="T118" s="35"/>
      <c r="U118" s="35"/>
      <c r="V118" s="35"/>
      <c r="W118" s="35"/>
      <c r="X118" s="35"/>
    </row>
    <row r="119" customFormat="false" ht="54.75" hidden="false" customHeight="true" outlineLevel="0" collapsed="false">
      <c r="A119" s="28"/>
      <c r="B119" s="29" t="str">
        <f aca="true">IF(C119&lt;&gt;"",TODAY(),"")</f>
        <v/>
      </c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1"/>
      <c r="O119" s="39"/>
      <c r="P119" s="30"/>
      <c r="Q119" s="30"/>
      <c r="R119" s="30"/>
      <c r="S119" s="30"/>
      <c r="T119" s="30"/>
      <c r="U119" s="30"/>
      <c r="V119" s="30"/>
      <c r="W119" s="30"/>
      <c r="X119" s="30"/>
    </row>
    <row r="120" customFormat="false" ht="54.75" hidden="false" customHeight="true" outlineLevel="0" collapsed="false">
      <c r="A120" s="33"/>
      <c r="B120" s="34" t="str">
        <f aca="true">IF(C120&lt;&gt;"",TODAY(),"")</f>
        <v/>
      </c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6"/>
      <c r="O120" s="38"/>
      <c r="P120" s="35"/>
      <c r="Q120" s="35"/>
      <c r="R120" s="35"/>
      <c r="S120" s="35"/>
      <c r="T120" s="35"/>
      <c r="U120" s="35"/>
      <c r="V120" s="35"/>
      <c r="W120" s="35"/>
      <c r="X120" s="35"/>
    </row>
    <row r="121" customFormat="false" ht="54.75" hidden="false" customHeight="true" outlineLevel="0" collapsed="false">
      <c r="A121" s="28"/>
      <c r="B121" s="29" t="str">
        <f aca="true">IF(C121&lt;&gt;"",TODAY(),"")</f>
        <v/>
      </c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1"/>
      <c r="O121" s="39"/>
      <c r="P121" s="30"/>
      <c r="Q121" s="30"/>
      <c r="R121" s="30"/>
      <c r="S121" s="30"/>
      <c r="T121" s="30"/>
      <c r="U121" s="30"/>
      <c r="V121" s="30"/>
      <c r="W121" s="30"/>
      <c r="X121" s="30"/>
    </row>
    <row r="122" customFormat="false" ht="54.75" hidden="false" customHeight="true" outlineLevel="0" collapsed="false">
      <c r="A122" s="33"/>
      <c r="B122" s="34" t="str">
        <f aca="true">IF(C122&lt;&gt;"",TODAY(),"")</f>
        <v/>
      </c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6"/>
      <c r="O122" s="38"/>
      <c r="P122" s="35"/>
      <c r="Q122" s="35"/>
      <c r="R122" s="35"/>
      <c r="S122" s="35"/>
      <c r="T122" s="35"/>
      <c r="U122" s="35"/>
      <c r="V122" s="35"/>
      <c r="W122" s="35"/>
      <c r="X122" s="35"/>
    </row>
    <row r="123" customFormat="false" ht="54.75" hidden="false" customHeight="true" outlineLevel="0" collapsed="false">
      <c r="A123" s="28"/>
      <c r="B123" s="29" t="str">
        <f aca="true">IF(C123&lt;&gt;"",TODAY(),"")</f>
        <v/>
      </c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1"/>
      <c r="O123" s="39"/>
      <c r="P123" s="30"/>
      <c r="Q123" s="30"/>
      <c r="R123" s="30"/>
      <c r="S123" s="30"/>
      <c r="T123" s="30"/>
      <c r="U123" s="30"/>
      <c r="V123" s="30"/>
      <c r="W123" s="30"/>
      <c r="X123" s="30"/>
    </row>
    <row r="124" customFormat="false" ht="54.75" hidden="false" customHeight="true" outlineLevel="0" collapsed="false">
      <c r="A124" s="33"/>
      <c r="B124" s="34" t="str">
        <f aca="true">IF(C124&lt;&gt;"",TODAY(),"")</f>
        <v/>
      </c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6"/>
      <c r="O124" s="38"/>
      <c r="P124" s="35"/>
      <c r="Q124" s="35"/>
      <c r="R124" s="35"/>
      <c r="S124" s="35"/>
      <c r="T124" s="35"/>
      <c r="U124" s="35"/>
      <c r="V124" s="35"/>
      <c r="W124" s="35"/>
      <c r="X124" s="35"/>
    </row>
    <row r="125" customFormat="false" ht="54.75" hidden="false" customHeight="true" outlineLevel="0" collapsed="false">
      <c r="A125" s="28"/>
      <c r="B125" s="29" t="str">
        <f aca="true">IF(C125&lt;&gt;"",TODAY(),"")</f>
        <v/>
      </c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1"/>
      <c r="O125" s="39"/>
      <c r="P125" s="30"/>
      <c r="Q125" s="30"/>
      <c r="R125" s="30"/>
      <c r="S125" s="30"/>
      <c r="T125" s="30"/>
      <c r="U125" s="30"/>
      <c r="V125" s="30"/>
      <c r="W125" s="30"/>
      <c r="X125" s="30"/>
    </row>
    <row r="126" customFormat="false" ht="54.75" hidden="false" customHeight="true" outlineLevel="0" collapsed="false">
      <c r="A126" s="33"/>
      <c r="B126" s="34" t="str">
        <f aca="true">IF(C126&lt;&gt;"",TODAY(),"")</f>
        <v/>
      </c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6"/>
      <c r="O126" s="38"/>
      <c r="P126" s="35"/>
      <c r="Q126" s="35"/>
      <c r="R126" s="35"/>
      <c r="S126" s="35"/>
      <c r="T126" s="35"/>
      <c r="U126" s="35"/>
      <c r="V126" s="35"/>
      <c r="W126" s="35"/>
      <c r="X126" s="35"/>
    </row>
    <row r="127" customFormat="false" ht="54.75" hidden="false" customHeight="true" outlineLevel="0" collapsed="false">
      <c r="A127" s="28"/>
      <c r="B127" s="29" t="str">
        <f aca="true">IF(C127&lt;&gt;"",TODAY(),"")</f>
        <v/>
      </c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1"/>
      <c r="O127" s="39"/>
      <c r="P127" s="30"/>
      <c r="Q127" s="30"/>
      <c r="R127" s="30"/>
      <c r="S127" s="30"/>
      <c r="T127" s="30"/>
      <c r="U127" s="30"/>
      <c r="V127" s="30"/>
      <c r="W127" s="30"/>
      <c r="X127" s="30"/>
    </row>
    <row r="128" customFormat="false" ht="54.75" hidden="false" customHeight="true" outlineLevel="0" collapsed="false">
      <c r="A128" s="33"/>
      <c r="B128" s="34" t="str">
        <f aca="true">IF(C128&lt;&gt;"",TODAY(),"")</f>
        <v/>
      </c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6"/>
      <c r="O128" s="38"/>
      <c r="P128" s="35"/>
      <c r="Q128" s="35"/>
      <c r="R128" s="35"/>
      <c r="S128" s="35"/>
      <c r="T128" s="35"/>
      <c r="U128" s="35"/>
      <c r="V128" s="35"/>
      <c r="W128" s="35"/>
      <c r="X128" s="35"/>
    </row>
    <row r="129" customFormat="false" ht="54.75" hidden="false" customHeight="true" outlineLevel="0" collapsed="false">
      <c r="A129" s="28"/>
      <c r="B129" s="29" t="str">
        <f aca="true">IF(C129&lt;&gt;"",TODAY(),"")</f>
        <v/>
      </c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1"/>
      <c r="O129" s="39"/>
      <c r="P129" s="30"/>
      <c r="Q129" s="30"/>
      <c r="R129" s="30"/>
      <c r="S129" s="30"/>
      <c r="T129" s="30"/>
      <c r="U129" s="30"/>
      <c r="V129" s="30"/>
      <c r="W129" s="30"/>
      <c r="X129" s="30"/>
    </row>
    <row r="130" customFormat="false" ht="54.75" hidden="false" customHeight="true" outlineLevel="0" collapsed="false">
      <c r="A130" s="33"/>
      <c r="B130" s="34" t="str">
        <f aca="true">IF(C130&lt;&gt;"",TODAY(),"")</f>
        <v/>
      </c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6"/>
      <c r="O130" s="38"/>
      <c r="P130" s="35"/>
      <c r="Q130" s="35"/>
      <c r="R130" s="35"/>
      <c r="S130" s="35"/>
      <c r="T130" s="35"/>
      <c r="U130" s="35"/>
      <c r="V130" s="35"/>
      <c r="W130" s="35"/>
      <c r="X130" s="35"/>
    </row>
    <row r="131" customFormat="false" ht="54.75" hidden="false" customHeight="true" outlineLevel="0" collapsed="false">
      <c r="A131" s="28"/>
      <c r="B131" s="29" t="str">
        <f aca="true">IF(C131&lt;&gt;"",TODAY(),"")</f>
        <v/>
      </c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1"/>
      <c r="O131" s="39"/>
      <c r="P131" s="30"/>
      <c r="Q131" s="30"/>
      <c r="R131" s="30"/>
      <c r="S131" s="30"/>
      <c r="T131" s="30"/>
      <c r="U131" s="30"/>
      <c r="V131" s="30"/>
      <c r="W131" s="30"/>
      <c r="X131" s="30"/>
    </row>
    <row r="132" customFormat="false" ht="54.75" hidden="false" customHeight="true" outlineLevel="0" collapsed="false">
      <c r="A132" s="33"/>
      <c r="B132" s="34" t="str">
        <f aca="true">IF(C132&lt;&gt;"",TODAY(),"")</f>
        <v/>
      </c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6"/>
      <c r="O132" s="38"/>
      <c r="P132" s="35"/>
      <c r="Q132" s="35"/>
      <c r="R132" s="35"/>
      <c r="S132" s="35"/>
      <c r="T132" s="35"/>
      <c r="U132" s="35"/>
      <c r="V132" s="35"/>
      <c r="W132" s="35"/>
      <c r="X132" s="35"/>
    </row>
    <row r="133" customFormat="false" ht="54.75" hidden="false" customHeight="true" outlineLevel="0" collapsed="false">
      <c r="A133" s="28"/>
      <c r="B133" s="29" t="str">
        <f aca="true">IF(C133&lt;&gt;"",TODAY(),"")</f>
        <v/>
      </c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1"/>
      <c r="O133" s="39"/>
      <c r="P133" s="30"/>
      <c r="Q133" s="30"/>
      <c r="R133" s="30"/>
      <c r="S133" s="30"/>
      <c r="T133" s="30"/>
      <c r="U133" s="30"/>
      <c r="V133" s="30"/>
      <c r="W133" s="30"/>
      <c r="X133" s="30"/>
    </row>
    <row r="134" customFormat="false" ht="54.75" hidden="false" customHeight="true" outlineLevel="0" collapsed="false">
      <c r="A134" s="33"/>
      <c r="B134" s="34" t="str">
        <f aca="true">IF(C134&lt;&gt;"",TODAY(),"")</f>
        <v/>
      </c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6"/>
      <c r="O134" s="38"/>
      <c r="P134" s="35"/>
      <c r="Q134" s="35"/>
      <c r="R134" s="35"/>
      <c r="S134" s="35"/>
      <c r="T134" s="35"/>
      <c r="U134" s="35"/>
      <c r="V134" s="35"/>
      <c r="W134" s="35"/>
      <c r="X134" s="35"/>
    </row>
    <row r="135" customFormat="false" ht="54.75" hidden="false" customHeight="true" outlineLevel="0" collapsed="false">
      <c r="A135" s="28"/>
      <c r="B135" s="29" t="str">
        <f aca="true">IF(C135&lt;&gt;"",TODAY(),"")</f>
        <v/>
      </c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1"/>
      <c r="O135" s="39"/>
      <c r="P135" s="30"/>
      <c r="Q135" s="30"/>
      <c r="R135" s="30"/>
      <c r="S135" s="30"/>
      <c r="T135" s="30"/>
      <c r="U135" s="30"/>
      <c r="V135" s="30"/>
      <c r="W135" s="30"/>
      <c r="X135" s="30"/>
    </row>
    <row r="136" customFormat="false" ht="54.75" hidden="false" customHeight="true" outlineLevel="0" collapsed="false">
      <c r="A136" s="33"/>
      <c r="B136" s="34" t="str">
        <f aca="true">IF(C136&lt;&gt;"",TODAY(),"")</f>
        <v/>
      </c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6"/>
      <c r="O136" s="38"/>
      <c r="P136" s="35"/>
      <c r="Q136" s="35"/>
      <c r="R136" s="35"/>
      <c r="S136" s="35"/>
      <c r="T136" s="35"/>
      <c r="U136" s="35"/>
      <c r="V136" s="35"/>
      <c r="W136" s="35"/>
      <c r="X136" s="35"/>
    </row>
    <row r="137" customFormat="false" ht="54.75" hidden="false" customHeight="true" outlineLevel="0" collapsed="false">
      <c r="A137" s="28"/>
      <c r="B137" s="29" t="str">
        <f aca="true">IF(C137&lt;&gt;"",TODAY(),"")</f>
        <v/>
      </c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1"/>
      <c r="O137" s="39"/>
      <c r="P137" s="30"/>
      <c r="Q137" s="30"/>
      <c r="R137" s="30"/>
      <c r="S137" s="30"/>
      <c r="T137" s="30"/>
      <c r="U137" s="30"/>
      <c r="V137" s="30"/>
      <c r="W137" s="30"/>
      <c r="X137" s="30"/>
    </row>
    <row r="138" customFormat="false" ht="54.75" hidden="false" customHeight="true" outlineLevel="0" collapsed="false">
      <c r="A138" s="33"/>
      <c r="B138" s="34" t="str">
        <f aca="true">IF(C138&lt;&gt;"",TODAY(),"")</f>
        <v/>
      </c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6"/>
      <c r="O138" s="38"/>
      <c r="P138" s="35"/>
      <c r="Q138" s="35"/>
      <c r="R138" s="35"/>
      <c r="S138" s="35"/>
      <c r="T138" s="35"/>
      <c r="U138" s="35"/>
      <c r="V138" s="35"/>
      <c r="W138" s="35"/>
      <c r="X138" s="35"/>
    </row>
    <row r="139" customFormat="false" ht="54.75" hidden="false" customHeight="true" outlineLevel="0" collapsed="false">
      <c r="A139" s="28"/>
      <c r="B139" s="29" t="str">
        <f aca="true">IF(C139&lt;&gt;"",TODAY(),"")</f>
        <v/>
      </c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1"/>
      <c r="O139" s="39"/>
      <c r="P139" s="30"/>
      <c r="Q139" s="30"/>
      <c r="R139" s="30"/>
      <c r="S139" s="30"/>
      <c r="T139" s="30"/>
      <c r="U139" s="30"/>
      <c r="V139" s="30"/>
      <c r="W139" s="30"/>
      <c r="X139" s="30"/>
    </row>
    <row r="140" customFormat="false" ht="54.75" hidden="false" customHeight="true" outlineLevel="0" collapsed="false">
      <c r="A140" s="33"/>
      <c r="B140" s="34" t="str">
        <f aca="true">IF(C140&lt;&gt;"",TODAY(),"")</f>
        <v/>
      </c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6"/>
      <c r="O140" s="38"/>
      <c r="P140" s="35"/>
      <c r="Q140" s="35"/>
      <c r="R140" s="35"/>
      <c r="S140" s="35"/>
      <c r="T140" s="35"/>
      <c r="U140" s="35"/>
      <c r="V140" s="35"/>
      <c r="W140" s="35"/>
      <c r="X140" s="35"/>
    </row>
    <row r="141" customFormat="false" ht="54.75" hidden="false" customHeight="true" outlineLevel="0" collapsed="false">
      <c r="A141" s="28"/>
      <c r="B141" s="29" t="str">
        <f aca="true">IF(C141&lt;&gt;"",TODAY(),"")</f>
        <v/>
      </c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1"/>
      <c r="O141" s="39"/>
      <c r="P141" s="30"/>
      <c r="Q141" s="30"/>
      <c r="R141" s="30"/>
      <c r="S141" s="30"/>
      <c r="T141" s="30"/>
      <c r="U141" s="30"/>
      <c r="V141" s="30"/>
      <c r="W141" s="30"/>
      <c r="X141" s="30"/>
    </row>
    <row r="142" customFormat="false" ht="54.75" hidden="false" customHeight="true" outlineLevel="0" collapsed="false">
      <c r="A142" s="33"/>
      <c r="B142" s="34" t="str">
        <f aca="true">IF(C142&lt;&gt;"",TODAY(),"")</f>
        <v/>
      </c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6"/>
      <c r="O142" s="38"/>
      <c r="P142" s="35"/>
      <c r="Q142" s="35"/>
      <c r="R142" s="35"/>
      <c r="S142" s="35"/>
      <c r="T142" s="35"/>
      <c r="U142" s="35"/>
      <c r="V142" s="35"/>
      <c r="W142" s="35"/>
      <c r="X142" s="35"/>
    </row>
    <row r="143" customFormat="false" ht="54.75" hidden="false" customHeight="true" outlineLevel="0" collapsed="false">
      <c r="A143" s="28"/>
      <c r="B143" s="29" t="str">
        <f aca="true">IF(C143&lt;&gt;"",TODAY(),"")</f>
        <v/>
      </c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1"/>
      <c r="O143" s="39"/>
      <c r="P143" s="30"/>
      <c r="Q143" s="30"/>
      <c r="R143" s="30"/>
      <c r="S143" s="30"/>
      <c r="T143" s="30"/>
      <c r="U143" s="30"/>
      <c r="V143" s="30"/>
      <c r="W143" s="30"/>
      <c r="X143" s="30"/>
    </row>
    <row r="144" customFormat="false" ht="54.75" hidden="false" customHeight="true" outlineLevel="0" collapsed="false">
      <c r="A144" s="33"/>
      <c r="B144" s="34" t="str">
        <f aca="true">IF(C144&lt;&gt;"",TODAY(),"")</f>
        <v/>
      </c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6"/>
      <c r="O144" s="38"/>
      <c r="P144" s="35"/>
      <c r="Q144" s="35"/>
      <c r="R144" s="35"/>
      <c r="S144" s="35"/>
      <c r="T144" s="35"/>
      <c r="U144" s="35"/>
      <c r="V144" s="35"/>
      <c r="W144" s="35"/>
      <c r="X144" s="35"/>
    </row>
    <row r="145" customFormat="false" ht="54.75" hidden="false" customHeight="true" outlineLevel="0" collapsed="false">
      <c r="A145" s="28"/>
      <c r="B145" s="29" t="str">
        <f aca="true">IF(C145&lt;&gt;"",TODAY(),"")</f>
        <v/>
      </c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1"/>
      <c r="O145" s="39"/>
      <c r="P145" s="30"/>
      <c r="Q145" s="30"/>
      <c r="R145" s="30"/>
      <c r="S145" s="30"/>
      <c r="T145" s="30"/>
      <c r="U145" s="30"/>
      <c r="V145" s="30"/>
      <c r="W145" s="30"/>
      <c r="X145" s="30"/>
    </row>
    <row r="146" customFormat="false" ht="54.75" hidden="false" customHeight="true" outlineLevel="0" collapsed="false">
      <c r="A146" s="33"/>
      <c r="B146" s="34" t="str">
        <f aca="true">IF(C146&lt;&gt;"",TODAY(),"")</f>
        <v/>
      </c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6"/>
      <c r="O146" s="38"/>
      <c r="P146" s="35"/>
      <c r="Q146" s="35"/>
      <c r="R146" s="35"/>
      <c r="S146" s="35"/>
      <c r="T146" s="35"/>
      <c r="U146" s="35"/>
      <c r="V146" s="35"/>
      <c r="W146" s="35"/>
      <c r="X146" s="35"/>
    </row>
    <row r="147" customFormat="false" ht="54.75" hidden="false" customHeight="true" outlineLevel="0" collapsed="false">
      <c r="A147" s="28"/>
      <c r="B147" s="29" t="str">
        <f aca="true">IF(C147&lt;&gt;"",TODAY(),"")</f>
        <v/>
      </c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1"/>
      <c r="O147" s="39"/>
      <c r="P147" s="30"/>
      <c r="Q147" s="30"/>
      <c r="R147" s="30"/>
      <c r="S147" s="30"/>
      <c r="T147" s="30"/>
      <c r="U147" s="30"/>
      <c r="V147" s="30"/>
      <c r="W147" s="30"/>
      <c r="X147" s="30"/>
    </row>
    <row r="148" customFormat="false" ht="54.75" hidden="false" customHeight="true" outlineLevel="0" collapsed="false">
      <c r="A148" s="33"/>
      <c r="B148" s="34" t="str">
        <f aca="true">IF(C148&lt;&gt;"",TODAY(),"")</f>
        <v/>
      </c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6"/>
      <c r="O148" s="38"/>
      <c r="P148" s="35"/>
      <c r="Q148" s="35"/>
      <c r="R148" s="35"/>
      <c r="S148" s="35"/>
      <c r="T148" s="35"/>
      <c r="U148" s="35"/>
      <c r="V148" s="35"/>
      <c r="W148" s="35"/>
      <c r="X148" s="35"/>
    </row>
    <row r="149" customFormat="false" ht="54.75" hidden="false" customHeight="true" outlineLevel="0" collapsed="false">
      <c r="A149" s="28"/>
      <c r="B149" s="29" t="str">
        <f aca="true">IF(C149&lt;&gt;"",TODAY(),"")</f>
        <v/>
      </c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1"/>
      <c r="O149" s="39"/>
      <c r="P149" s="30"/>
      <c r="Q149" s="30"/>
      <c r="R149" s="30"/>
      <c r="S149" s="30"/>
      <c r="T149" s="30"/>
      <c r="U149" s="30"/>
      <c r="V149" s="30"/>
      <c r="W149" s="30"/>
      <c r="X149" s="30"/>
    </row>
    <row r="150" customFormat="false" ht="54.75" hidden="false" customHeight="true" outlineLevel="0" collapsed="false">
      <c r="A150" s="33"/>
      <c r="B150" s="34" t="str">
        <f aca="true">IF(C150&lt;&gt;"",TODAY(),"")</f>
        <v/>
      </c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6"/>
      <c r="O150" s="38"/>
      <c r="P150" s="35"/>
      <c r="Q150" s="35"/>
      <c r="R150" s="35"/>
      <c r="S150" s="35"/>
      <c r="T150" s="35"/>
      <c r="U150" s="35"/>
      <c r="V150" s="35"/>
      <c r="W150" s="35"/>
      <c r="X150" s="35"/>
    </row>
    <row r="151" customFormat="false" ht="54.75" hidden="false" customHeight="true" outlineLevel="0" collapsed="false">
      <c r="A151" s="28"/>
      <c r="B151" s="29" t="str">
        <f aca="true">IF(C151&lt;&gt;"",TODAY(),"")</f>
        <v/>
      </c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1"/>
      <c r="O151" s="39"/>
      <c r="P151" s="30"/>
      <c r="Q151" s="30"/>
      <c r="R151" s="30"/>
      <c r="S151" s="30"/>
      <c r="T151" s="30"/>
      <c r="U151" s="30"/>
      <c r="V151" s="30"/>
      <c r="W151" s="30"/>
      <c r="X151" s="30"/>
    </row>
    <row r="152" customFormat="false" ht="54.75" hidden="false" customHeight="true" outlineLevel="0" collapsed="false">
      <c r="A152" s="33"/>
      <c r="B152" s="34" t="str">
        <f aca="true">IF(C152&lt;&gt;"",TODAY(),"")</f>
        <v/>
      </c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6"/>
      <c r="O152" s="38"/>
      <c r="P152" s="35"/>
      <c r="Q152" s="35"/>
      <c r="R152" s="35"/>
      <c r="S152" s="35"/>
      <c r="T152" s="35"/>
      <c r="U152" s="35"/>
      <c r="V152" s="35"/>
      <c r="W152" s="35"/>
      <c r="X152" s="35"/>
    </row>
    <row r="153" customFormat="false" ht="54.75" hidden="false" customHeight="true" outlineLevel="0" collapsed="false">
      <c r="A153" s="28"/>
      <c r="B153" s="29" t="str">
        <f aca="true">IF(C153&lt;&gt;"",TODAY(),"")</f>
        <v/>
      </c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1"/>
      <c r="O153" s="39"/>
      <c r="P153" s="30"/>
      <c r="Q153" s="30"/>
      <c r="R153" s="30"/>
      <c r="S153" s="30"/>
      <c r="T153" s="30"/>
      <c r="U153" s="30"/>
      <c r="V153" s="30"/>
      <c r="W153" s="30"/>
      <c r="X153" s="30"/>
    </row>
    <row r="154" customFormat="false" ht="54.75" hidden="false" customHeight="true" outlineLevel="0" collapsed="false">
      <c r="A154" s="33"/>
      <c r="B154" s="34" t="str">
        <f aca="true">IF(C154&lt;&gt;"",TODAY(),"")</f>
        <v/>
      </c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6"/>
      <c r="O154" s="38"/>
      <c r="P154" s="35"/>
      <c r="Q154" s="35"/>
      <c r="R154" s="35"/>
      <c r="S154" s="35"/>
      <c r="T154" s="35"/>
      <c r="U154" s="35"/>
      <c r="V154" s="35"/>
      <c r="W154" s="35"/>
      <c r="X154" s="35"/>
    </row>
    <row r="155" customFormat="false" ht="54.75" hidden="false" customHeight="true" outlineLevel="0" collapsed="false">
      <c r="A155" s="28"/>
      <c r="B155" s="29" t="str">
        <f aca="true">IF(C155&lt;&gt;"",TODAY(),"")</f>
        <v/>
      </c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1"/>
      <c r="O155" s="39"/>
      <c r="P155" s="30"/>
      <c r="Q155" s="30"/>
      <c r="R155" s="30"/>
      <c r="S155" s="30"/>
      <c r="T155" s="30"/>
      <c r="U155" s="30"/>
      <c r="V155" s="30"/>
      <c r="W155" s="30"/>
      <c r="X155" s="30"/>
    </row>
    <row r="156" customFormat="false" ht="54.75" hidden="false" customHeight="true" outlineLevel="0" collapsed="false">
      <c r="A156" s="33"/>
      <c r="B156" s="34" t="str">
        <f aca="true">IF(C156&lt;&gt;"",TODAY(),"")</f>
        <v/>
      </c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6"/>
      <c r="O156" s="38"/>
      <c r="P156" s="35"/>
      <c r="Q156" s="35"/>
      <c r="R156" s="35"/>
      <c r="S156" s="35"/>
      <c r="T156" s="35"/>
      <c r="U156" s="35"/>
      <c r="V156" s="35"/>
      <c r="W156" s="35"/>
      <c r="X156" s="35"/>
    </row>
    <row r="157" customFormat="false" ht="54.75" hidden="false" customHeight="true" outlineLevel="0" collapsed="false">
      <c r="A157" s="28"/>
      <c r="B157" s="29" t="str">
        <f aca="true">IF(C157&lt;&gt;"",TODAY(),"")</f>
        <v/>
      </c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1"/>
      <c r="O157" s="39"/>
      <c r="P157" s="30"/>
      <c r="Q157" s="30"/>
      <c r="R157" s="30"/>
      <c r="S157" s="30"/>
      <c r="T157" s="30"/>
      <c r="U157" s="30"/>
      <c r="V157" s="30"/>
      <c r="W157" s="30"/>
      <c r="X157" s="30"/>
    </row>
    <row r="158" customFormat="false" ht="54.75" hidden="false" customHeight="true" outlineLevel="0" collapsed="false">
      <c r="A158" s="33"/>
      <c r="B158" s="34" t="str">
        <f aca="true">IF(C158&lt;&gt;"",TODAY(),"")</f>
        <v/>
      </c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6"/>
      <c r="O158" s="38"/>
      <c r="P158" s="35"/>
      <c r="Q158" s="35"/>
      <c r="R158" s="35"/>
      <c r="S158" s="35"/>
      <c r="T158" s="35"/>
      <c r="U158" s="35"/>
      <c r="V158" s="35"/>
      <c r="W158" s="35"/>
      <c r="X158" s="35"/>
    </row>
    <row r="159" customFormat="false" ht="54.75" hidden="false" customHeight="true" outlineLevel="0" collapsed="false">
      <c r="A159" s="28"/>
      <c r="B159" s="29" t="str">
        <f aca="true">IF(C159&lt;&gt;"",TODAY(),"")</f>
        <v/>
      </c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1"/>
      <c r="O159" s="39"/>
      <c r="P159" s="30"/>
      <c r="Q159" s="30"/>
      <c r="R159" s="30"/>
      <c r="S159" s="30"/>
      <c r="T159" s="30"/>
      <c r="U159" s="30"/>
      <c r="V159" s="30"/>
      <c r="W159" s="30"/>
      <c r="X159" s="30"/>
    </row>
    <row r="160" customFormat="false" ht="54.75" hidden="false" customHeight="true" outlineLevel="0" collapsed="false">
      <c r="A160" s="33"/>
      <c r="B160" s="34" t="str">
        <f aca="true">IF(C160&lt;&gt;"",TODAY(),"")</f>
        <v/>
      </c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6"/>
      <c r="O160" s="38"/>
      <c r="P160" s="35"/>
      <c r="Q160" s="35"/>
      <c r="R160" s="35"/>
      <c r="S160" s="35"/>
      <c r="T160" s="35"/>
      <c r="U160" s="35"/>
      <c r="V160" s="35"/>
      <c r="W160" s="35"/>
      <c r="X160" s="35"/>
    </row>
    <row r="161" customFormat="false" ht="54.75" hidden="false" customHeight="true" outlineLevel="0" collapsed="false">
      <c r="A161" s="28"/>
      <c r="B161" s="29" t="str">
        <f aca="true">IF(C161&lt;&gt;"",TODAY(),"")</f>
        <v/>
      </c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1"/>
      <c r="O161" s="39"/>
      <c r="P161" s="30"/>
      <c r="Q161" s="30"/>
      <c r="R161" s="30"/>
      <c r="S161" s="30"/>
      <c r="T161" s="30"/>
      <c r="U161" s="30"/>
      <c r="V161" s="30"/>
      <c r="W161" s="30"/>
      <c r="X161" s="30"/>
    </row>
    <row r="162" customFormat="false" ht="54.75" hidden="false" customHeight="true" outlineLevel="0" collapsed="false">
      <c r="A162" s="33"/>
      <c r="B162" s="34" t="str">
        <f aca="true">IF(C162&lt;&gt;"",TODAY(),"")</f>
        <v/>
      </c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6"/>
      <c r="O162" s="38"/>
      <c r="P162" s="35"/>
      <c r="Q162" s="35"/>
      <c r="R162" s="35"/>
      <c r="S162" s="35"/>
      <c r="T162" s="35"/>
      <c r="U162" s="35"/>
      <c r="V162" s="35"/>
      <c r="W162" s="35"/>
      <c r="X162" s="35"/>
    </row>
    <row r="163" customFormat="false" ht="54.75" hidden="false" customHeight="true" outlineLevel="0" collapsed="false">
      <c r="A163" s="28"/>
      <c r="B163" s="29" t="str">
        <f aca="true">IF(C163&lt;&gt;"",TODAY(),"")</f>
        <v/>
      </c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1"/>
      <c r="O163" s="39"/>
      <c r="P163" s="30"/>
      <c r="Q163" s="30"/>
      <c r="R163" s="30"/>
      <c r="S163" s="30"/>
      <c r="T163" s="30"/>
      <c r="U163" s="30"/>
      <c r="V163" s="30"/>
      <c r="W163" s="30"/>
      <c r="X163" s="30"/>
    </row>
    <row r="164" customFormat="false" ht="54.75" hidden="false" customHeight="true" outlineLevel="0" collapsed="false">
      <c r="A164" s="33"/>
      <c r="B164" s="34" t="str">
        <f aca="true">IF(C164&lt;&gt;"",TODAY(),"")</f>
        <v/>
      </c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6"/>
      <c r="O164" s="38"/>
      <c r="P164" s="35"/>
      <c r="Q164" s="35"/>
      <c r="R164" s="35"/>
      <c r="S164" s="35"/>
      <c r="T164" s="35"/>
      <c r="U164" s="35"/>
      <c r="V164" s="35"/>
      <c r="W164" s="35"/>
      <c r="X164" s="35"/>
    </row>
    <row r="165" customFormat="false" ht="54.75" hidden="false" customHeight="true" outlineLevel="0" collapsed="false">
      <c r="A165" s="28"/>
      <c r="B165" s="29" t="str">
        <f aca="true">IF(C165&lt;&gt;"",TODAY(),"")</f>
        <v/>
      </c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1"/>
      <c r="O165" s="39"/>
      <c r="P165" s="30"/>
      <c r="Q165" s="30"/>
      <c r="R165" s="30"/>
      <c r="S165" s="30"/>
      <c r="T165" s="30"/>
      <c r="U165" s="30"/>
      <c r="V165" s="30"/>
      <c r="W165" s="30"/>
      <c r="X165" s="30"/>
    </row>
    <row r="166" customFormat="false" ht="54.75" hidden="false" customHeight="true" outlineLevel="0" collapsed="false">
      <c r="A166" s="33"/>
      <c r="B166" s="34" t="str">
        <f aca="true">IF(C166&lt;&gt;"",TODAY(),"")</f>
        <v/>
      </c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6"/>
      <c r="O166" s="38"/>
      <c r="P166" s="35"/>
      <c r="Q166" s="35"/>
      <c r="R166" s="35"/>
      <c r="S166" s="35"/>
      <c r="T166" s="35"/>
      <c r="U166" s="35"/>
      <c r="V166" s="35"/>
      <c r="W166" s="35"/>
      <c r="X166" s="35"/>
    </row>
    <row r="167" customFormat="false" ht="54.75" hidden="false" customHeight="true" outlineLevel="0" collapsed="false">
      <c r="A167" s="28"/>
      <c r="B167" s="29" t="str">
        <f aca="true">IF(C167&lt;&gt;"",TODAY(),"")</f>
        <v/>
      </c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1"/>
      <c r="O167" s="39"/>
      <c r="P167" s="30"/>
      <c r="Q167" s="30"/>
      <c r="R167" s="30"/>
      <c r="S167" s="30"/>
      <c r="T167" s="30"/>
      <c r="U167" s="30"/>
      <c r="V167" s="30"/>
      <c r="W167" s="30"/>
      <c r="X167" s="30"/>
    </row>
    <row r="168" customFormat="false" ht="54.75" hidden="false" customHeight="true" outlineLevel="0" collapsed="false">
      <c r="A168" s="33"/>
      <c r="B168" s="34" t="str">
        <f aca="true">IF(C168&lt;&gt;"",TODAY(),"")</f>
        <v/>
      </c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6"/>
      <c r="O168" s="38"/>
      <c r="P168" s="35"/>
      <c r="Q168" s="35"/>
      <c r="R168" s="35"/>
      <c r="S168" s="35"/>
      <c r="T168" s="35"/>
      <c r="U168" s="35"/>
      <c r="V168" s="35"/>
      <c r="W168" s="35"/>
      <c r="X168" s="35"/>
    </row>
    <row r="169" customFormat="false" ht="54.75" hidden="false" customHeight="true" outlineLevel="0" collapsed="false">
      <c r="A169" s="28"/>
      <c r="B169" s="29" t="str">
        <f aca="true">IF(C169&lt;&gt;"",TODAY(),"")</f>
        <v/>
      </c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1"/>
      <c r="O169" s="39"/>
      <c r="P169" s="30"/>
      <c r="Q169" s="30"/>
      <c r="R169" s="30"/>
      <c r="S169" s="30"/>
      <c r="T169" s="30"/>
      <c r="U169" s="30"/>
      <c r="V169" s="30"/>
      <c r="W169" s="30"/>
      <c r="X169" s="30"/>
    </row>
    <row r="170" customFormat="false" ht="54.75" hidden="false" customHeight="true" outlineLevel="0" collapsed="false">
      <c r="A170" s="33"/>
      <c r="B170" s="34" t="str">
        <f aca="true">IF(C170&lt;&gt;"",TODAY(),"")</f>
        <v/>
      </c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6"/>
      <c r="O170" s="38"/>
      <c r="P170" s="35"/>
      <c r="Q170" s="35"/>
      <c r="R170" s="35"/>
      <c r="S170" s="35"/>
      <c r="T170" s="35"/>
      <c r="U170" s="35"/>
      <c r="V170" s="35"/>
      <c r="W170" s="35"/>
      <c r="X170" s="35"/>
    </row>
    <row r="171" customFormat="false" ht="54.75" hidden="false" customHeight="true" outlineLevel="0" collapsed="false">
      <c r="A171" s="28"/>
      <c r="B171" s="29" t="str">
        <f aca="true">IF(C171&lt;&gt;"",TODAY(),"")</f>
        <v/>
      </c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1"/>
      <c r="O171" s="39"/>
      <c r="P171" s="30"/>
      <c r="Q171" s="30"/>
      <c r="R171" s="30"/>
      <c r="S171" s="30"/>
      <c r="T171" s="30"/>
      <c r="U171" s="30"/>
      <c r="V171" s="30"/>
      <c r="W171" s="30"/>
      <c r="X171" s="30"/>
    </row>
    <row r="172" customFormat="false" ht="54.75" hidden="false" customHeight="true" outlineLevel="0" collapsed="false">
      <c r="A172" s="33"/>
      <c r="B172" s="34" t="str">
        <f aca="true">IF(C172&lt;&gt;"",TODAY(),"")</f>
        <v/>
      </c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6"/>
      <c r="O172" s="38"/>
      <c r="P172" s="35"/>
      <c r="Q172" s="35"/>
      <c r="R172" s="35"/>
      <c r="S172" s="35"/>
      <c r="T172" s="35"/>
      <c r="U172" s="35"/>
      <c r="V172" s="35"/>
      <c r="W172" s="35"/>
      <c r="X172" s="35"/>
    </row>
    <row r="173" customFormat="false" ht="54.75" hidden="false" customHeight="true" outlineLevel="0" collapsed="false">
      <c r="A173" s="28"/>
      <c r="B173" s="29" t="str">
        <f aca="true">IF(C173&lt;&gt;"",TODAY(),"")</f>
        <v/>
      </c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1"/>
      <c r="O173" s="39"/>
      <c r="P173" s="30"/>
      <c r="Q173" s="30"/>
      <c r="R173" s="30"/>
      <c r="S173" s="30"/>
      <c r="T173" s="30"/>
      <c r="U173" s="30"/>
      <c r="V173" s="30"/>
      <c r="W173" s="30"/>
      <c r="X173" s="30"/>
    </row>
    <row r="174" customFormat="false" ht="54.75" hidden="false" customHeight="true" outlineLevel="0" collapsed="false">
      <c r="A174" s="33"/>
      <c r="B174" s="34" t="str">
        <f aca="true">IF(C174&lt;&gt;"",TODAY(),"")</f>
        <v/>
      </c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6"/>
      <c r="O174" s="38"/>
      <c r="P174" s="35"/>
      <c r="Q174" s="35"/>
      <c r="R174" s="35"/>
      <c r="S174" s="35"/>
      <c r="T174" s="35"/>
      <c r="U174" s="35"/>
      <c r="V174" s="35"/>
      <c r="W174" s="35"/>
      <c r="X174" s="35"/>
    </row>
    <row r="175" customFormat="false" ht="54.75" hidden="false" customHeight="true" outlineLevel="0" collapsed="false">
      <c r="A175" s="28"/>
      <c r="B175" s="29" t="str">
        <f aca="true">IF(C175&lt;&gt;"",TODAY(),"")</f>
        <v/>
      </c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1"/>
      <c r="O175" s="39"/>
      <c r="P175" s="30"/>
      <c r="Q175" s="30"/>
      <c r="R175" s="30"/>
      <c r="S175" s="30"/>
      <c r="T175" s="30"/>
      <c r="U175" s="30"/>
      <c r="V175" s="30"/>
      <c r="W175" s="30"/>
      <c r="X175" s="30"/>
    </row>
    <row r="176" customFormat="false" ht="54.75" hidden="false" customHeight="true" outlineLevel="0" collapsed="false">
      <c r="A176" s="33"/>
      <c r="B176" s="34" t="str">
        <f aca="true">IF(C176&lt;&gt;"",TODAY(),"")</f>
        <v/>
      </c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6"/>
      <c r="O176" s="38"/>
      <c r="P176" s="35"/>
      <c r="Q176" s="35"/>
      <c r="R176" s="35"/>
      <c r="S176" s="35"/>
      <c r="T176" s="35"/>
      <c r="U176" s="35"/>
      <c r="V176" s="35"/>
      <c r="W176" s="35"/>
      <c r="X176" s="35"/>
    </row>
    <row r="177" customFormat="false" ht="54.75" hidden="false" customHeight="true" outlineLevel="0" collapsed="false">
      <c r="A177" s="28"/>
      <c r="B177" s="29" t="str">
        <f aca="true">IF(C177&lt;&gt;"",TODAY(),"")</f>
        <v/>
      </c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1"/>
      <c r="O177" s="39"/>
      <c r="P177" s="30"/>
      <c r="Q177" s="30"/>
      <c r="R177" s="30"/>
      <c r="S177" s="30"/>
      <c r="T177" s="30"/>
      <c r="U177" s="30"/>
      <c r="V177" s="30"/>
      <c r="W177" s="30"/>
      <c r="X177" s="30"/>
    </row>
    <row r="178" customFormat="false" ht="54.75" hidden="false" customHeight="true" outlineLevel="0" collapsed="false">
      <c r="A178" s="33"/>
      <c r="B178" s="34" t="str">
        <f aca="true">IF(C178&lt;&gt;"",TODAY(),"")</f>
        <v/>
      </c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6"/>
      <c r="O178" s="38"/>
      <c r="P178" s="35"/>
      <c r="Q178" s="35"/>
      <c r="R178" s="35"/>
      <c r="S178" s="35"/>
      <c r="T178" s="35"/>
      <c r="U178" s="35"/>
      <c r="V178" s="35"/>
      <c r="W178" s="35"/>
      <c r="X178" s="35"/>
    </row>
    <row r="179" customFormat="false" ht="54.75" hidden="false" customHeight="true" outlineLevel="0" collapsed="false">
      <c r="A179" s="28"/>
      <c r="B179" s="29" t="str">
        <f aca="true">IF(C179&lt;&gt;"",TODAY(),"")</f>
        <v/>
      </c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1"/>
      <c r="O179" s="39"/>
      <c r="P179" s="30"/>
      <c r="Q179" s="30"/>
      <c r="R179" s="30"/>
      <c r="S179" s="30"/>
      <c r="T179" s="30"/>
      <c r="U179" s="30"/>
      <c r="V179" s="30"/>
      <c r="W179" s="30"/>
      <c r="X179" s="30"/>
    </row>
    <row r="180" customFormat="false" ht="54.75" hidden="false" customHeight="true" outlineLevel="0" collapsed="false">
      <c r="A180" s="33"/>
      <c r="B180" s="34" t="str">
        <f aca="true">IF(C180&lt;&gt;"",TODAY(),"")</f>
        <v/>
      </c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6"/>
      <c r="O180" s="38"/>
      <c r="P180" s="35"/>
      <c r="Q180" s="35"/>
      <c r="R180" s="35"/>
      <c r="S180" s="35"/>
      <c r="T180" s="35"/>
      <c r="U180" s="35"/>
      <c r="V180" s="35"/>
      <c r="W180" s="35"/>
      <c r="X180" s="35"/>
    </row>
    <row r="181" customFormat="false" ht="54.75" hidden="false" customHeight="true" outlineLevel="0" collapsed="false">
      <c r="A181" s="28"/>
      <c r="B181" s="29" t="str">
        <f aca="true">IF(C181&lt;&gt;"",TODAY(),"")</f>
        <v/>
      </c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1"/>
      <c r="O181" s="39"/>
      <c r="P181" s="30"/>
      <c r="Q181" s="30"/>
      <c r="R181" s="30"/>
      <c r="S181" s="30"/>
      <c r="T181" s="30"/>
      <c r="U181" s="30"/>
      <c r="V181" s="30"/>
      <c r="W181" s="30"/>
      <c r="X181" s="30"/>
    </row>
    <row r="182" customFormat="false" ht="54.75" hidden="false" customHeight="true" outlineLevel="0" collapsed="false">
      <c r="A182" s="33"/>
      <c r="B182" s="34" t="str">
        <f aca="true">IF(C182&lt;&gt;"",TODAY(),"")</f>
        <v/>
      </c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6"/>
      <c r="O182" s="38"/>
      <c r="P182" s="35"/>
      <c r="Q182" s="35"/>
      <c r="R182" s="35"/>
      <c r="S182" s="35"/>
      <c r="T182" s="35"/>
      <c r="U182" s="35"/>
      <c r="V182" s="35"/>
      <c r="W182" s="35"/>
      <c r="X182" s="35"/>
    </row>
    <row r="183" customFormat="false" ht="54.75" hidden="false" customHeight="true" outlineLevel="0" collapsed="false">
      <c r="A183" s="28"/>
      <c r="B183" s="29" t="str">
        <f aca="true">IF(C183&lt;&gt;"",TODAY(),"")</f>
        <v/>
      </c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1"/>
      <c r="O183" s="39"/>
      <c r="P183" s="30"/>
      <c r="Q183" s="30"/>
      <c r="R183" s="30"/>
      <c r="S183" s="30"/>
      <c r="T183" s="30"/>
      <c r="U183" s="30"/>
      <c r="V183" s="30"/>
      <c r="W183" s="30"/>
      <c r="X183" s="30"/>
    </row>
    <row r="184" customFormat="false" ht="54.75" hidden="false" customHeight="true" outlineLevel="0" collapsed="false">
      <c r="A184" s="33"/>
      <c r="B184" s="34" t="str">
        <f aca="true">IF(C184&lt;&gt;"",TODAY(),"")</f>
        <v/>
      </c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6"/>
      <c r="O184" s="38"/>
      <c r="P184" s="35"/>
      <c r="Q184" s="35"/>
      <c r="R184" s="35"/>
      <c r="S184" s="35"/>
      <c r="T184" s="35"/>
      <c r="U184" s="35"/>
      <c r="V184" s="35"/>
      <c r="W184" s="35"/>
      <c r="X184" s="35"/>
    </row>
    <row r="185" customFormat="false" ht="54.75" hidden="false" customHeight="true" outlineLevel="0" collapsed="false">
      <c r="A185" s="28"/>
      <c r="B185" s="29" t="str">
        <f aca="true">IF(C185&lt;&gt;"",TODAY(),"")</f>
        <v/>
      </c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1"/>
      <c r="O185" s="39"/>
      <c r="P185" s="30"/>
      <c r="Q185" s="30"/>
      <c r="R185" s="30"/>
      <c r="S185" s="30"/>
      <c r="T185" s="30"/>
      <c r="U185" s="30"/>
      <c r="V185" s="30"/>
      <c r="W185" s="30"/>
      <c r="X185" s="30"/>
    </row>
    <row r="186" customFormat="false" ht="54.75" hidden="false" customHeight="true" outlineLevel="0" collapsed="false">
      <c r="A186" s="33"/>
      <c r="B186" s="34" t="str">
        <f aca="true">IF(C186&lt;&gt;"",TODAY(),"")</f>
        <v/>
      </c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6"/>
      <c r="O186" s="38"/>
      <c r="P186" s="35"/>
      <c r="Q186" s="35"/>
      <c r="R186" s="35"/>
      <c r="S186" s="35"/>
      <c r="T186" s="35"/>
      <c r="U186" s="35"/>
      <c r="V186" s="35"/>
      <c r="W186" s="35"/>
      <c r="X186" s="35"/>
    </row>
    <row r="187" customFormat="false" ht="54.75" hidden="false" customHeight="true" outlineLevel="0" collapsed="false">
      <c r="A187" s="28"/>
      <c r="B187" s="29" t="str">
        <f aca="true">IF(C187&lt;&gt;"",TODAY(),"")</f>
        <v/>
      </c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1"/>
      <c r="O187" s="39"/>
      <c r="P187" s="30"/>
      <c r="Q187" s="30"/>
      <c r="R187" s="30"/>
      <c r="S187" s="30"/>
      <c r="T187" s="30"/>
      <c r="U187" s="30"/>
      <c r="V187" s="30"/>
      <c r="W187" s="30"/>
      <c r="X187" s="30"/>
    </row>
    <row r="188" customFormat="false" ht="54.75" hidden="false" customHeight="true" outlineLevel="0" collapsed="false">
      <c r="A188" s="33"/>
      <c r="B188" s="34" t="str">
        <f aca="true">IF(C188&lt;&gt;"",TODAY(),"")</f>
        <v/>
      </c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6"/>
      <c r="O188" s="38"/>
      <c r="P188" s="35"/>
      <c r="Q188" s="35"/>
      <c r="R188" s="35"/>
      <c r="S188" s="35"/>
      <c r="T188" s="35"/>
      <c r="U188" s="35"/>
      <c r="V188" s="35"/>
      <c r="W188" s="35"/>
      <c r="X188" s="35"/>
    </row>
    <row r="189" customFormat="false" ht="54.75" hidden="false" customHeight="true" outlineLevel="0" collapsed="false">
      <c r="A189" s="28"/>
      <c r="B189" s="29" t="str">
        <f aca="true">IF(C189&lt;&gt;"",TODAY(),"")</f>
        <v/>
      </c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1"/>
      <c r="O189" s="39"/>
      <c r="P189" s="30"/>
      <c r="Q189" s="30"/>
      <c r="R189" s="30"/>
      <c r="S189" s="30"/>
      <c r="T189" s="30"/>
      <c r="U189" s="30"/>
      <c r="V189" s="30"/>
      <c r="W189" s="30"/>
      <c r="X189" s="30"/>
    </row>
    <row r="190" customFormat="false" ht="54.75" hidden="false" customHeight="true" outlineLevel="0" collapsed="false">
      <c r="A190" s="33"/>
      <c r="B190" s="34" t="str">
        <f aca="true">IF(C190&lt;&gt;"",TODAY(),"")</f>
        <v/>
      </c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6"/>
      <c r="O190" s="38"/>
      <c r="P190" s="35"/>
      <c r="Q190" s="35"/>
      <c r="R190" s="35"/>
      <c r="S190" s="35"/>
      <c r="T190" s="35"/>
      <c r="U190" s="35"/>
      <c r="V190" s="35"/>
      <c r="W190" s="35"/>
      <c r="X190" s="35"/>
    </row>
    <row r="191" customFormat="false" ht="54.75" hidden="false" customHeight="true" outlineLevel="0" collapsed="false">
      <c r="A191" s="28"/>
      <c r="B191" s="29" t="str">
        <f aca="true">IF(C191&lt;&gt;"",TODAY(),"")</f>
        <v/>
      </c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1"/>
      <c r="O191" s="39"/>
      <c r="P191" s="30"/>
      <c r="Q191" s="30"/>
      <c r="R191" s="30"/>
      <c r="S191" s="30"/>
      <c r="T191" s="30"/>
      <c r="U191" s="30"/>
      <c r="V191" s="30"/>
      <c r="W191" s="30"/>
      <c r="X191" s="30"/>
    </row>
    <row r="192" customFormat="false" ht="54.75" hidden="false" customHeight="true" outlineLevel="0" collapsed="false">
      <c r="A192" s="33"/>
      <c r="B192" s="34" t="str">
        <f aca="true">IF(C192&lt;&gt;"",TODAY(),"")</f>
        <v/>
      </c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6"/>
      <c r="O192" s="38"/>
      <c r="P192" s="35"/>
      <c r="Q192" s="35"/>
      <c r="R192" s="35"/>
      <c r="S192" s="35"/>
      <c r="T192" s="35"/>
      <c r="U192" s="35"/>
      <c r="V192" s="35"/>
      <c r="W192" s="35"/>
      <c r="X192" s="35"/>
    </row>
    <row r="193" customFormat="false" ht="54.75" hidden="false" customHeight="true" outlineLevel="0" collapsed="false">
      <c r="A193" s="28"/>
      <c r="B193" s="29" t="str">
        <f aca="true">IF(C193&lt;&gt;"",TODAY(),"")</f>
        <v/>
      </c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1"/>
      <c r="O193" s="39"/>
      <c r="P193" s="30"/>
      <c r="Q193" s="30"/>
      <c r="R193" s="30"/>
      <c r="S193" s="30"/>
      <c r="T193" s="30"/>
      <c r="U193" s="30"/>
      <c r="V193" s="30"/>
      <c r="W193" s="30"/>
      <c r="X193" s="30"/>
    </row>
    <row r="194" customFormat="false" ht="54.75" hidden="false" customHeight="true" outlineLevel="0" collapsed="false">
      <c r="A194" s="33"/>
      <c r="B194" s="34" t="str">
        <f aca="true">IF(C194&lt;&gt;"",TODAY(),"")</f>
        <v/>
      </c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6"/>
      <c r="O194" s="38"/>
      <c r="P194" s="35"/>
      <c r="Q194" s="35"/>
      <c r="R194" s="35"/>
      <c r="S194" s="35"/>
      <c r="T194" s="35"/>
      <c r="U194" s="35"/>
      <c r="V194" s="35"/>
      <c r="W194" s="35"/>
      <c r="X194" s="35"/>
    </row>
    <row r="195" customFormat="false" ht="54.75" hidden="false" customHeight="true" outlineLevel="0" collapsed="false">
      <c r="A195" s="28"/>
      <c r="B195" s="29" t="str">
        <f aca="true">IF(C195&lt;&gt;"",TODAY(),"")</f>
        <v/>
      </c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1"/>
      <c r="O195" s="39"/>
      <c r="P195" s="30"/>
      <c r="Q195" s="30"/>
      <c r="R195" s="30"/>
      <c r="S195" s="30"/>
      <c r="T195" s="30"/>
      <c r="U195" s="30"/>
      <c r="V195" s="30"/>
      <c r="W195" s="30"/>
      <c r="X195" s="30"/>
    </row>
    <row r="196" customFormat="false" ht="54.75" hidden="false" customHeight="true" outlineLevel="0" collapsed="false">
      <c r="A196" s="33"/>
      <c r="B196" s="34" t="str">
        <f aca="true">IF(C196&lt;&gt;"",TODAY(),"")</f>
        <v/>
      </c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6"/>
      <c r="O196" s="38"/>
      <c r="P196" s="35"/>
      <c r="Q196" s="35"/>
      <c r="R196" s="35"/>
      <c r="S196" s="35"/>
      <c r="T196" s="35"/>
      <c r="U196" s="35"/>
      <c r="V196" s="35"/>
      <c r="W196" s="35"/>
      <c r="X196" s="35"/>
    </row>
    <row r="197" customFormat="false" ht="54.75" hidden="false" customHeight="true" outlineLevel="0" collapsed="false">
      <c r="A197" s="28"/>
      <c r="B197" s="29" t="str">
        <f aca="true">IF(C197&lt;&gt;"",TODAY(),"")</f>
        <v/>
      </c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1"/>
      <c r="O197" s="39"/>
      <c r="P197" s="30"/>
      <c r="Q197" s="30"/>
      <c r="R197" s="30"/>
      <c r="S197" s="30"/>
      <c r="T197" s="30"/>
      <c r="U197" s="30"/>
      <c r="V197" s="30"/>
      <c r="W197" s="30"/>
      <c r="X197" s="30"/>
    </row>
    <row r="198" customFormat="false" ht="54.75" hidden="false" customHeight="true" outlineLevel="0" collapsed="false">
      <c r="A198" s="33"/>
      <c r="B198" s="34" t="str">
        <f aca="true">IF(C198&lt;&gt;"",TODAY(),"")</f>
        <v/>
      </c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6"/>
      <c r="O198" s="38"/>
      <c r="P198" s="35"/>
      <c r="Q198" s="35"/>
      <c r="R198" s="35"/>
      <c r="S198" s="35"/>
      <c r="T198" s="35"/>
      <c r="U198" s="35"/>
      <c r="V198" s="35"/>
      <c r="W198" s="35"/>
      <c r="X198" s="35"/>
    </row>
    <row r="199" customFormat="false" ht="54.75" hidden="false" customHeight="true" outlineLevel="0" collapsed="false">
      <c r="A199" s="28"/>
      <c r="B199" s="29" t="str">
        <f aca="true">IF(C199&lt;&gt;"",TODAY(),"")</f>
        <v/>
      </c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1"/>
      <c r="O199" s="39"/>
      <c r="P199" s="30"/>
      <c r="Q199" s="30"/>
      <c r="R199" s="30"/>
      <c r="S199" s="30"/>
      <c r="T199" s="30"/>
      <c r="U199" s="30"/>
      <c r="V199" s="30"/>
      <c r="W199" s="30"/>
      <c r="X199" s="30"/>
    </row>
    <row r="200" customFormat="false" ht="54.75" hidden="false" customHeight="true" outlineLevel="0" collapsed="false">
      <c r="A200" s="33"/>
      <c r="B200" s="34" t="str">
        <f aca="true">IF(C200&lt;&gt;"",TODAY(),"")</f>
        <v/>
      </c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6"/>
      <c r="O200" s="38"/>
      <c r="P200" s="35"/>
      <c r="Q200" s="35"/>
      <c r="R200" s="35"/>
      <c r="S200" s="35"/>
      <c r="T200" s="35"/>
      <c r="U200" s="35"/>
      <c r="V200" s="35"/>
      <c r="W200" s="35"/>
      <c r="X200" s="35"/>
    </row>
    <row r="201" customFormat="false" ht="54.75" hidden="false" customHeight="true" outlineLevel="0" collapsed="false">
      <c r="A201" s="28"/>
      <c r="B201" s="29" t="str">
        <f aca="true">IF(C201&lt;&gt;"",TODAY(),"")</f>
        <v/>
      </c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1"/>
      <c r="O201" s="39"/>
      <c r="P201" s="30"/>
      <c r="Q201" s="30"/>
      <c r="R201" s="30"/>
      <c r="S201" s="30"/>
      <c r="T201" s="30"/>
      <c r="U201" s="30"/>
      <c r="V201" s="30"/>
      <c r="W201" s="30"/>
      <c r="X201" s="30"/>
    </row>
    <row r="202" customFormat="false" ht="54.75" hidden="false" customHeight="true" outlineLevel="0" collapsed="false">
      <c r="A202" s="33"/>
      <c r="B202" s="34" t="str">
        <f aca="true">IF(C202&lt;&gt;"",TODAY(),"")</f>
        <v/>
      </c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6"/>
      <c r="O202" s="38"/>
      <c r="P202" s="35"/>
      <c r="Q202" s="35"/>
      <c r="R202" s="35"/>
      <c r="S202" s="35"/>
      <c r="T202" s="35"/>
      <c r="U202" s="35"/>
      <c r="V202" s="35"/>
      <c r="W202" s="35"/>
      <c r="X202" s="35"/>
    </row>
    <row r="203" customFormat="false" ht="54.75" hidden="false" customHeight="true" outlineLevel="0" collapsed="false">
      <c r="A203" s="28"/>
      <c r="B203" s="29" t="str">
        <f aca="true">IF(C203&lt;&gt;"",TODAY(),"")</f>
        <v/>
      </c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1"/>
      <c r="O203" s="39"/>
      <c r="P203" s="30"/>
      <c r="Q203" s="30"/>
      <c r="R203" s="30"/>
      <c r="S203" s="30"/>
      <c r="T203" s="30"/>
      <c r="U203" s="30"/>
      <c r="V203" s="30"/>
      <c r="W203" s="30"/>
      <c r="X203" s="30"/>
    </row>
    <row r="204" customFormat="false" ht="54.75" hidden="false" customHeight="true" outlineLevel="0" collapsed="false">
      <c r="A204" s="33"/>
      <c r="B204" s="34" t="str">
        <f aca="true">IF(C204&lt;&gt;"",TODAY(),"")</f>
        <v/>
      </c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6"/>
      <c r="O204" s="38"/>
      <c r="P204" s="35"/>
      <c r="Q204" s="35"/>
      <c r="R204" s="35"/>
      <c r="S204" s="35"/>
      <c r="T204" s="35"/>
      <c r="U204" s="35"/>
      <c r="V204" s="35"/>
      <c r="W204" s="35"/>
      <c r="X204" s="35"/>
    </row>
    <row r="205" customFormat="false" ht="54.75" hidden="false" customHeight="true" outlineLevel="0" collapsed="false">
      <c r="A205" s="28"/>
      <c r="B205" s="29" t="str">
        <f aca="true">IF(C205&lt;&gt;"",TODAY(),"")</f>
        <v/>
      </c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1"/>
      <c r="O205" s="39"/>
      <c r="P205" s="30"/>
      <c r="Q205" s="30"/>
      <c r="R205" s="30"/>
      <c r="S205" s="30"/>
      <c r="T205" s="30"/>
      <c r="U205" s="30"/>
      <c r="V205" s="30"/>
      <c r="W205" s="30"/>
      <c r="X205" s="30"/>
    </row>
    <row r="206" customFormat="false" ht="54.75" hidden="false" customHeight="true" outlineLevel="0" collapsed="false">
      <c r="A206" s="33"/>
      <c r="B206" s="34" t="str">
        <f aca="true">IF(C206&lt;&gt;"",TODAY(),"")</f>
        <v/>
      </c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6"/>
      <c r="O206" s="38"/>
      <c r="P206" s="35"/>
      <c r="Q206" s="35"/>
      <c r="R206" s="35"/>
      <c r="S206" s="35"/>
      <c r="T206" s="35"/>
      <c r="U206" s="35"/>
      <c r="V206" s="35"/>
      <c r="W206" s="35"/>
      <c r="X206" s="35"/>
    </row>
    <row r="207" customFormat="false" ht="54.75" hidden="false" customHeight="true" outlineLevel="0" collapsed="false">
      <c r="A207" s="28"/>
      <c r="B207" s="29" t="str">
        <f aca="true">IF(C207&lt;&gt;"",TODAY(),"")</f>
        <v/>
      </c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1"/>
      <c r="O207" s="39"/>
      <c r="P207" s="30"/>
      <c r="Q207" s="30"/>
      <c r="R207" s="30"/>
      <c r="S207" s="30"/>
      <c r="T207" s="30"/>
      <c r="U207" s="30"/>
      <c r="V207" s="30"/>
      <c r="W207" s="30"/>
      <c r="X207" s="30"/>
    </row>
    <row r="208" customFormat="false" ht="54.75" hidden="false" customHeight="true" outlineLevel="0" collapsed="false">
      <c r="A208" s="33"/>
      <c r="B208" s="34" t="str">
        <f aca="true">IF(C208&lt;&gt;"",TODAY(),"")</f>
        <v/>
      </c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6"/>
      <c r="O208" s="38"/>
      <c r="P208" s="35"/>
      <c r="Q208" s="35"/>
      <c r="R208" s="35"/>
      <c r="S208" s="35"/>
      <c r="T208" s="35"/>
      <c r="U208" s="35"/>
      <c r="V208" s="35"/>
      <c r="W208" s="35"/>
      <c r="X208" s="35"/>
    </row>
    <row r="209" customFormat="false" ht="54.75" hidden="false" customHeight="true" outlineLevel="0" collapsed="false">
      <c r="A209" s="28"/>
      <c r="B209" s="29" t="str">
        <f aca="true">IF(C209&lt;&gt;"",TODAY(),"")</f>
        <v/>
      </c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1"/>
      <c r="O209" s="39"/>
      <c r="P209" s="30"/>
      <c r="Q209" s="30"/>
      <c r="R209" s="30"/>
      <c r="S209" s="30"/>
      <c r="T209" s="30"/>
      <c r="U209" s="30"/>
      <c r="V209" s="30"/>
      <c r="W209" s="30"/>
      <c r="X209" s="30"/>
    </row>
    <row r="210" customFormat="false" ht="54.75" hidden="false" customHeight="true" outlineLevel="0" collapsed="false">
      <c r="A210" s="33"/>
      <c r="B210" s="34" t="str">
        <f aca="true">IF(C210&lt;&gt;"",TODAY(),"")</f>
        <v/>
      </c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6"/>
      <c r="O210" s="38"/>
      <c r="P210" s="35"/>
      <c r="Q210" s="35"/>
      <c r="R210" s="35"/>
      <c r="S210" s="35"/>
      <c r="T210" s="35"/>
      <c r="U210" s="35"/>
      <c r="V210" s="35"/>
      <c r="W210" s="35"/>
      <c r="X210" s="35"/>
    </row>
    <row r="211" customFormat="false" ht="54.75" hidden="false" customHeight="true" outlineLevel="0" collapsed="false">
      <c r="A211" s="28"/>
      <c r="B211" s="29" t="str">
        <f aca="true">IF(C211&lt;&gt;"",TODAY(),"")</f>
        <v/>
      </c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1"/>
      <c r="O211" s="39"/>
      <c r="P211" s="30"/>
      <c r="Q211" s="30"/>
      <c r="R211" s="30"/>
      <c r="S211" s="30"/>
      <c r="T211" s="30"/>
      <c r="U211" s="30"/>
      <c r="V211" s="30"/>
      <c r="W211" s="30"/>
      <c r="X211" s="30"/>
    </row>
    <row r="212" customFormat="false" ht="54.75" hidden="false" customHeight="true" outlineLevel="0" collapsed="false">
      <c r="A212" s="33"/>
      <c r="B212" s="34" t="str">
        <f aca="true">IF(C212&lt;&gt;"",TODAY(),"")</f>
        <v/>
      </c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6"/>
      <c r="O212" s="38"/>
      <c r="P212" s="35"/>
      <c r="Q212" s="35"/>
      <c r="R212" s="35"/>
      <c r="S212" s="35"/>
      <c r="T212" s="35"/>
      <c r="U212" s="35"/>
      <c r="V212" s="35"/>
      <c r="W212" s="35"/>
      <c r="X212" s="35"/>
    </row>
    <row r="213" customFormat="false" ht="54.75" hidden="false" customHeight="true" outlineLevel="0" collapsed="false">
      <c r="A213" s="28"/>
      <c r="B213" s="29" t="str">
        <f aca="true">IF(C213&lt;&gt;"",TODAY(),"")</f>
        <v/>
      </c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1"/>
      <c r="O213" s="39"/>
      <c r="P213" s="30"/>
      <c r="Q213" s="30"/>
      <c r="R213" s="30"/>
      <c r="S213" s="30"/>
      <c r="T213" s="30"/>
      <c r="U213" s="30"/>
      <c r="V213" s="30"/>
      <c r="W213" s="30"/>
      <c r="X213" s="30"/>
    </row>
    <row r="214" customFormat="false" ht="54.75" hidden="false" customHeight="true" outlineLevel="0" collapsed="false">
      <c r="A214" s="33"/>
      <c r="B214" s="34" t="str">
        <f aca="true">IF(C214&lt;&gt;"",TODAY(),"")</f>
        <v/>
      </c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6"/>
      <c r="O214" s="38"/>
      <c r="P214" s="35"/>
      <c r="Q214" s="35"/>
      <c r="R214" s="35"/>
      <c r="S214" s="35"/>
      <c r="T214" s="35"/>
      <c r="U214" s="35"/>
      <c r="V214" s="35"/>
      <c r="W214" s="35"/>
      <c r="X214" s="35"/>
    </row>
    <row r="215" customFormat="false" ht="54.75" hidden="false" customHeight="true" outlineLevel="0" collapsed="false">
      <c r="A215" s="28"/>
      <c r="B215" s="29" t="str">
        <f aca="true">IF(C215&lt;&gt;"",TODAY(),"")</f>
        <v/>
      </c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1"/>
      <c r="O215" s="39"/>
      <c r="P215" s="30"/>
      <c r="Q215" s="30"/>
      <c r="R215" s="30"/>
      <c r="S215" s="30"/>
      <c r="T215" s="30"/>
      <c r="U215" s="30"/>
      <c r="V215" s="30"/>
      <c r="W215" s="30"/>
      <c r="X215" s="30"/>
    </row>
    <row r="216" customFormat="false" ht="54.75" hidden="false" customHeight="true" outlineLevel="0" collapsed="false">
      <c r="A216" s="33"/>
      <c r="B216" s="34" t="str">
        <f aca="true">IF(C216&lt;&gt;"",TODAY(),"")</f>
        <v/>
      </c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6"/>
      <c r="O216" s="38"/>
      <c r="P216" s="35"/>
      <c r="Q216" s="35"/>
      <c r="R216" s="35"/>
      <c r="S216" s="35"/>
      <c r="T216" s="35"/>
      <c r="U216" s="35"/>
      <c r="V216" s="35"/>
      <c r="W216" s="35"/>
      <c r="X216" s="35"/>
    </row>
    <row r="217" customFormat="false" ht="54.75" hidden="false" customHeight="true" outlineLevel="0" collapsed="false">
      <c r="A217" s="28"/>
      <c r="B217" s="29" t="str">
        <f aca="true">IF(C217&lt;&gt;"",TODAY(),"")</f>
        <v/>
      </c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1"/>
      <c r="O217" s="39"/>
      <c r="P217" s="30"/>
      <c r="Q217" s="30"/>
      <c r="R217" s="30"/>
      <c r="S217" s="30"/>
      <c r="T217" s="30"/>
      <c r="U217" s="30"/>
      <c r="V217" s="30"/>
      <c r="W217" s="30"/>
      <c r="X217" s="30"/>
    </row>
    <row r="218" customFormat="false" ht="54.75" hidden="false" customHeight="true" outlineLevel="0" collapsed="false">
      <c r="A218" s="33"/>
      <c r="B218" s="34" t="str">
        <f aca="true">IF(C218&lt;&gt;"",TODAY(),"")</f>
        <v/>
      </c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6"/>
      <c r="O218" s="38"/>
      <c r="P218" s="35"/>
      <c r="Q218" s="35"/>
      <c r="R218" s="35"/>
      <c r="S218" s="35"/>
      <c r="T218" s="35"/>
      <c r="U218" s="35"/>
      <c r="V218" s="35"/>
      <c r="W218" s="35"/>
      <c r="X218" s="35"/>
    </row>
    <row r="219" customFormat="false" ht="54.75" hidden="false" customHeight="true" outlineLevel="0" collapsed="false">
      <c r="A219" s="28"/>
      <c r="B219" s="29" t="str">
        <f aca="true">IF(C219&lt;&gt;"",TODAY(),"")</f>
        <v/>
      </c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1"/>
      <c r="O219" s="39"/>
      <c r="P219" s="30"/>
      <c r="Q219" s="30"/>
      <c r="R219" s="30"/>
      <c r="S219" s="30"/>
      <c r="T219" s="30"/>
      <c r="U219" s="30"/>
      <c r="V219" s="30"/>
      <c r="W219" s="30"/>
      <c r="X219" s="30"/>
    </row>
    <row r="220" customFormat="false" ht="54.75" hidden="false" customHeight="true" outlineLevel="0" collapsed="false">
      <c r="A220" s="33"/>
      <c r="B220" s="34" t="str">
        <f aca="true">IF(C220&lt;&gt;"",TODAY(),"")</f>
        <v/>
      </c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6"/>
      <c r="O220" s="38"/>
      <c r="P220" s="35"/>
      <c r="Q220" s="35"/>
      <c r="R220" s="35"/>
      <c r="S220" s="35"/>
      <c r="T220" s="35"/>
      <c r="U220" s="35"/>
      <c r="V220" s="35"/>
      <c r="W220" s="35"/>
      <c r="X220" s="35"/>
    </row>
    <row r="221" customFormat="false" ht="54.75" hidden="false" customHeight="true" outlineLevel="0" collapsed="false">
      <c r="A221" s="28"/>
      <c r="B221" s="29" t="str">
        <f aca="true">IF(C221&lt;&gt;"",TODAY(),"")</f>
        <v/>
      </c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1"/>
      <c r="O221" s="39"/>
      <c r="P221" s="30"/>
      <c r="Q221" s="30"/>
      <c r="R221" s="30"/>
      <c r="S221" s="30"/>
      <c r="T221" s="30"/>
      <c r="U221" s="30"/>
      <c r="V221" s="30"/>
      <c r="W221" s="30"/>
      <c r="X221" s="30"/>
    </row>
    <row r="222" customFormat="false" ht="54.75" hidden="false" customHeight="true" outlineLevel="0" collapsed="false">
      <c r="A222" s="33"/>
      <c r="B222" s="34" t="str">
        <f aca="true">IF(C222&lt;&gt;"",TODAY(),"")</f>
        <v/>
      </c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6"/>
      <c r="O222" s="38"/>
      <c r="P222" s="35"/>
      <c r="Q222" s="35"/>
      <c r="R222" s="35"/>
      <c r="S222" s="35"/>
      <c r="T222" s="35"/>
      <c r="U222" s="35"/>
      <c r="V222" s="35"/>
      <c r="W222" s="35"/>
      <c r="X222" s="35"/>
    </row>
    <row r="223" customFormat="false" ht="54.75" hidden="false" customHeight="true" outlineLevel="0" collapsed="false">
      <c r="A223" s="28"/>
      <c r="B223" s="29" t="str">
        <f aca="true">IF(C223&lt;&gt;"",TODAY(),"")</f>
        <v/>
      </c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1"/>
      <c r="O223" s="39"/>
      <c r="P223" s="30"/>
      <c r="Q223" s="30"/>
      <c r="R223" s="30"/>
      <c r="S223" s="30"/>
      <c r="T223" s="30"/>
      <c r="U223" s="30"/>
      <c r="V223" s="30"/>
      <c r="W223" s="30"/>
      <c r="X223" s="30"/>
    </row>
    <row r="224" customFormat="false" ht="54.75" hidden="false" customHeight="true" outlineLevel="0" collapsed="false">
      <c r="A224" s="33"/>
      <c r="B224" s="34" t="str">
        <f aca="true">IF(C224&lt;&gt;"",TODAY(),"")</f>
        <v/>
      </c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6"/>
      <c r="O224" s="38"/>
      <c r="P224" s="35"/>
      <c r="Q224" s="35"/>
      <c r="R224" s="35"/>
      <c r="S224" s="35"/>
      <c r="T224" s="35"/>
      <c r="U224" s="35"/>
      <c r="V224" s="35"/>
      <c r="W224" s="35"/>
      <c r="X224" s="35"/>
    </row>
    <row r="225" customFormat="false" ht="54.75" hidden="false" customHeight="true" outlineLevel="0" collapsed="false">
      <c r="A225" s="28"/>
      <c r="B225" s="29" t="str">
        <f aca="true">IF(C225&lt;&gt;"",TODAY(),"")</f>
        <v/>
      </c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1"/>
      <c r="O225" s="39"/>
      <c r="P225" s="30"/>
      <c r="Q225" s="30"/>
      <c r="R225" s="30"/>
      <c r="S225" s="30"/>
      <c r="T225" s="30"/>
      <c r="U225" s="30"/>
      <c r="V225" s="30"/>
      <c r="W225" s="30"/>
      <c r="X225" s="30"/>
    </row>
    <row r="226" customFormat="false" ht="54.75" hidden="false" customHeight="true" outlineLevel="0" collapsed="false">
      <c r="A226" s="33"/>
      <c r="B226" s="34" t="str">
        <f aca="true">IF(C226&lt;&gt;"",TODAY(),"")</f>
        <v/>
      </c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6"/>
      <c r="O226" s="38"/>
      <c r="P226" s="35"/>
      <c r="Q226" s="35"/>
      <c r="R226" s="35"/>
      <c r="S226" s="35"/>
      <c r="T226" s="35"/>
      <c r="U226" s="35"/>
      <c r="V226" s="35"/>
      <c r="W226" s="35"/>
      <c r="X226" s="35"/>
    </row>
    <row r="227" customFormat="false" ht="54.75" hidden="false" customHeight="true" outlineLevel="0" collapsed="false">
      <c r="A227" s="28"/>
      <c r="B227" s="29" t="str">
        <f aca="true">IF(C227&lt;&gt;"",TODAY(),"")</f>
        <v/>
      </c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1"/>
      <c r="O227" s="39"/>
      <c r="P227" s="30"/>
      <c r="Q227" s="30"/>
      <c r="R227" s="30"/>
      <c r="S227" s="30"/>
      <c r="T227" s="30"/>
      <c r="U227" s="30"/>
      <c r="V227" s="30"/>
      <c r="W227" s="30"/>
      <c r="X227" s="30"/>
    </row>
    <row r="228" customFormat="false" ht="54.75" hidden="false" customHeight="true" outlineLevel="0" collapsed="false">
      <c r="A228" s="33"/>
      <c r="B228" s="34" t="str">
        <f aca="true">IF(C228&lt;&gt;"",TODAY(),"")</f>
        <v/>
      </c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6"/>
      <c r="O228" s="38"/>
      <c r="P228" s="35"/>
      <c r="Q228" s="35"/>
      <c r="R228" s="35"/>
      <c r="S228" s="35"/>
      <c r="T228" s="35"/>
      <c r="U228" s="35"/>
      <c r="V228" s="35"/>
      <c r="W228" s="35"/>
      <c r="X228" s="35"/>
    </row>
    <row r="229" customFormat="false" ht="54.75" hidden="false" customHeight="true" outlineLevel="0" collapsed="false">
      <c r="A229" s="28"/>
      <c r="B229" s="29" t="str">
        <f aca="true">IF(C229&lt;&gt;"",TODAY(),"")</f>
        <v/>
      </c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1"/>
      <c r="O229" s="39"/>
      <c r="P229" s="30"/>
      <c r="Q229" s="30"/>
      <c r="R229" s="30"/>
      <c r="S229" s="30"/>
      <c r="T229" s="30"/>
      <c r="U229" s="30"/>
      <c r="V229" s="30"/>
      <c r="W229" s="30"/>
      <c r="X229" s="30"/>
    </row>
    <row r="230" customFormat="false" ht="54.75" hidden="false" customHeight="true" outlineLevel="0" collapsed="false">
      <c r="A230" s="33"/>
      <c r="B230" s="34" t="str">
        <f aca="true">IF(C230&lt;&gt;"",TODAY(),"")</f>
        <v/>
      </c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6"/>
      <c r="O230" s="38"/>
      <c r="P230" s="35"/>
      <c r="Q230" s="35"/>
      <c r="R230" s="35"/>
      <c r="S230" s="35"/>
      <c r="T230" s="35"/>
      <c r="U230" s="35"/>
      <c r="V230" s="35"/>
      <c r="W230" s="35"/>
      <c r="X230" s="35"/>
    </row>
    <row r="231" customFormat="false" ht="54.75" hidden="false" customHeight="true" outlineLevel="0" collapsed="false">
      <c r="A231" s="28"/>
      <c r="B231" s="29" t="str">
        <f aca="true">IF(C231&lt;&gt;"",TODAY(),"")</f>
        <v/>
      </c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1"/>
      <c r="O231" s="39"/>
      <c r="P231" s="30"/>
      <c r="Q231" s="30"/>
      <c r="R231" s="30"/>
      <c r="S231" s="30"/>
      <c r="T231" s="30"/>
      <c r="U231" s="30"/>
      <c r="V231" s="30"/>
      <c r="W231" s="30"/>
      <c r="X231" s="30"/>
    </row>
    <row r="232" customFormat="false" ht="54.75" hidden="false" customHeight="true" outlineLevel="0" collapsed="false">
      <c r="A232" s="33"/>
      <c r="B232" s="34" t="str">
        <f aca="true">IF(C232&lt;&gt;"",TODAY(),"")</f>
        <v/>
      </c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6"/>
      <c r="O232" s="38"/>
      <c r="P232" s="35"/>
      <c r="Q232" s="35"/>
      <c r="R232" s="35"/>
      <c r="S232" s="35"/>
      <c r="T232" s="35"/>
      <c r="U232" s="35"/>
      <c r="V232" s="35"/>
      <c r="W232" s="35"/>
      <c r="X232" s="35"/>
    </row>
    <row r="233" customFormat="false" ht="54.75" hidden="false" customHeight="true" outlineLevel="0" collapsed="false">
      <c r="A233" s="28"/>
      <c r="B233" s="29" t="str">
        <f aca="true">IF(C233&lt;&gt;"",TODAY(),"")</f>
        <v/>
      </c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1"/>
      <c r="O233" s="39"/>
      <c r="P233" s="30"/>
      <c r="Q233" s="30"/>
      <c r="R233" s="30"/>
      <c r="S233" s="30"/>
      <c r="T233" s="30"/>
      <c r="U233" s="30"/>
      <c r="V233" s="30"/>
      <c r="W233" s="30"/>
      <c r="X233" s="30"/>
    </row>
    <row r="234" customFormat="false" ht="54.75" hidden="false" customHeight="true" outlineLevel="0" collapsed="false">
      <c r="A234" s="33"/>
      <c r="B234" s="34" t="str">
        <f aca="true">IF(C234&lt;&gt;"",TODAY(),"")</f>
        <v/>
      </c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6"/>
      <c r="O234" s="38"/>
      <c r="P234" s="35"/>
      <c r="Q234" s="35"/>
      <c r="R234" s="35"/>
      <c r="S234" s="35"/>
      <c r="T234" s="35"/>
      <c r="U234" s="35"/>
      <c r="V234" s="35"/>
      <c r="W234" s="35"/>
      <c r="X234" s="35"/>
    </row>
    <row r="235" customFormat="false" ht="54.75" hidden="false" customHeight="true" outlineLevel="0" collapsed="false">
      <c r="A235" s="28"/>
      <c r="B235" s="29" t="str">
        <f aca="true">IF(C235&lt;&gt;"",TODAY(),"")</f>
        <v/>
      </c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1"/>
      <c r="O235" s="39"/>
      <c r="P235" s="30"/>
      <c r="Q235" s="30"/>
      <c r="R235" s="30"/>
      <c r="S235" s="30"/>
      <c r="T235" s="30"/>
      <c r="U235" s="30"/>
      <c r="V235" s="30"/>
      <c r="W235" s="30"/>
      <c r="X235" s="30"/>
    </row>
    <row r="236" customFormat="false" ht="54.75" hidden="false" customHeight="true" outlineLevel="0" collapsed="false">
      <c r="A236" s="33"/>
      <c r="B236" s="34" t="str">
        <f aca="true">IF(C236&lt;&gt;"",TODAY(),"")</f>
        <v/>
      </c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6"/>
      <c r="O236" s="38"/>
      <c r="P236" s="35"/>
      <c r="Q236" s="35"/>
      <c r="R236" s="35"/>
      <c r="S236" s="35"/>
      <c r="T236" s="35"/>
      <c r="U236" s="35"/>
      <c r="V236" s="35"/>
      <c r="W236" s="35"/>
      <c r="X236" s="35"/>
    </row>
    <row r="237" customFormat="false" ht="54.75" hidden="false" customHeight="true" outlineLevel="0" collapsed="false">
      <c r="A237" s="28"/>
      <c r="B237" s="29" t="str">
        <f aca="true">IF(C237&lt;&gt;"",TODAY(),"")</f>
        <v/>
      </c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1"/>
      <c r="O237" s="39"/>
      <c r="P237" s="30"/>
      <c r="Q237" s="30"/>
      <c r="R237" s="30"/>
      <c r="S237" s="30"/>
      <c r="T237" s="30"/>
      <c r="U237" s="30"/>
      <c r="V237" s="30"/>
      <c r="W237" s="30"/>
      <c r="X237" s="30"/>
    </row>
    <row r="238" customFormat="false" ht="54.75" hidden="false" customHeight="true" outlineLevel="0" collapsed="false">
      <c r="A238" s="33"/>
      <c r="B238" s="34" t="str">
        <f aca="true">IF(C238&lt;&gt;"",TODAY(),"")</f>
        <v/>
      </c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6"/>
      <c r="O238" s="38"/>
      <c r="P238" s="35"/>
      <c r="Q238" s="35"/>
      <c r="R238" s="35"/>
      <c r="S238" s="35"/>
      <c r="T238" s="35"/>
      <c r="U238" s="35"/>
      <c r="V238" s="35"/>
      <c r="W238" s="35"/>
      <c r="X238" s="35"/>
    </row>
    <row r="239" customFormat="false" ht="54.75" hidden="false" customHeight="true" outlineLevel="0" collapsed="false">
      <c r="A239" s="28"/>
      <c r="B239" s="29" t="str">
        <f aca="true">IF(C239&lt;&gt;"",TODAY(),"")</f>
        <v/>
      </c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1"/>
      <c r="O239" s="39"/>
      <c r="P239" s="30"/>
      <c r="Q239" s="30"/>
      <c r="R239" s="30"/>
      <c r="S239" s="30"/>
      <c r="T239" s="30"/>
      <c r="U239" s="30"/>
      <c r="V239" s="30"/>
      <c r="W239" s="30"/>
      <c r="X239" s="30"/>
    </row>
    <row r="240" customFormat="false" ht="54.75" hidden="false" customHeight="true" outlineLevel="0" collapsed="false">
      <c r="A240" s="33"/>
      <c r="B240" s="34" t="str">
        <f aca="true">IF(C240&lt;&gt;"",TODAY(),"")</f>
        <v/>
      </c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6"/>
      <c r="O240" s="38"/>
      <c r="P240" s="35"/>
      <c r="Q240" s="35"/>
      <c r="R240" s="35"/>
      <c r="S240" s="35"/>
      <c r="T240" s="35"/>
      <c r="U240" s="35"/>
      <c r="V240" s="35"/>
      <c r="W240" s="35"/>
      <c r="X240" s="35"/>
    </row>
    <row r="241" customFormat="false" ht="54.75" hidden="false" customHeight="true" outlineLevel="0" collapsed="false">
      <c r="A241" s="28"/>
      <c r="B241" s="29" t="str">
        <f aca="true">IF(C241&lt;&gt;"",TODAY(),"")</f>
        <v/>
      </c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1"/>
      <c r="O241" s="39"/>
      <c r="P241" s="30"/>
      <c r="Q241" s="30"/>
      <c r="R241" s="30"/>
      <c r="S241" s="30"/>
      <c r="T241" s="30"/>
      <c r="U241" s="30"/>
      <c r="V241" s="30"/>
      <c r="W241" s="30"/>
      <c r="X241" s="30"/>
    </row>
    <row r="242" customFormat="false" ht="54.75" hidden="false" customHeight="true" outlineLevel="0" collapsed="false">
      <c r="A242" s="33"/>
      <c r="B242" s="34" t="str">
        <f aca="true">IF(C242&lt;&gt;"",TODAY(),"")</f>
        <v/>
      </c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6"/>
      <c r="O242" s="38"/>
      <c r="P242" s="35"/>
      <c r="Q242" s="35"/>
      <c r="R242" s="35"/>
      <c r="S242" s="35"/>
      <c r="T242" s="35"/>
      <c r="U242" s="35"/>
      <c r="V242" s="35"/>
      <c r="W242" s="35"/>
      <c r="X242" s="35"/>
    </row>
    <row r="243" customFormat="false" ht="54.75" hidden="false" customHeight="true" outlineLevel="0" collapsed="false">
      <c r="A243" s="28"/>
      <c r="B243" s="29" t="str">
        <f aca="true">IF(C243&lt;&gt;"",TODAY(),"")</f>
        <v/>
      </c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1"/>
      <c r="O243" s="39"/>
      <c r="P243" s="30"/>
      <c r="Q243" s="30"/>
      <c r="R243" s="30"/>
      <c r="S243" s="30"/>
      <c r="T243" s="30"/>
      <c r="U243" s="30"/>
      <c r="V243" s="30"/>
      <c r="W243" s="30"/>
      <c r="X243" s="30"/>
    </row>
    <row r="244" customFormat="false" ht="54.75" hidden="false" customHeight="true" outlineLevel="0" collapsed="false">
      <c r="A244" s="33"/>
      <c r="B244" s="34" t="str">
        <f aca="true">IF(C244&lt;&gt;"",TODAY(),"")</f>
        <v/>
      </c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6"/>
      <c r="O244" s="38"/>
      <c r="P244" s="35"/>
      <c r="Q244" s="35"/>
      <c r="R244" s="35"/>
      <c r="S244" s="35"/>
      <c r="T244" s="35"/>
      <c r="U244" s="35"/>
      <c r="V244" s="35"/>
      <c r="W244" s="35"/>
      <c r="X244" s="35"/>
    </row>
    <row r="245" customFormat="false" ht="54.75" hidden="false" customHeight="true" outlineLevel="0" collapsed="false">
      <c r="A245" s="28"/>
      <c r="B245" s="29" t="str">
        <f aca="true">IF(C245&lt;&gt;"",TODAY(),"")</f>
        <v/>
      </c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1"/>
      <c r="O245" s="39"/>
      <c r="P245" s="30"/>
      <c r="Q245" s="30"/>
      <c r="R245" s="30"/>
      <c r="S245" s="30"/>
      <c r="T245" s="30"/>
      <c r="U245" s="30"/>
      <c r="V245" s="30"/>
      <c r="W245" s="30"/>
      <c r="X245" s="30"/>
    </row>
    <row r="246" customFormat="false" ht="54.75" hidden="false" customHeight="true" outlineLevel="0" collapsed="false">
      <c r="A246" s="33"/>
      <c r="B246" s="34" t="str">
        <f aca="true">IF(C246&lt;&gt;"",TODAY(),"")</f>
        <v/>
      </c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6"/>
      <c r="O246" s="38"/>
      <c r="P246" s="35"/>
      <c r="Q246" s="35"/>
      <c r="R246" s="35"/>
      <c r="S246" s="35"/>
      <c r="T246" s="35"/>
      <c r="U246" s="35"/>
      <c r="V246" s="35"/>
      <c r="W246" s="35"/>
      <c r="X246" s="35"/>
    </row>
    <row r="247" customFormat="false" ht="54.75" hidden="false" customHeight="true" outlineLevel="0" collapsed="false">
      <c r="A247" s="28"/>
      <c r="B247" s="29" t="str">
        <f aca="true">IF(C247&lt;&gt;"",TODAY(),"")</f>
        <v/>
      </c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1"/>
      <c r="O247" s="39"/>
      <c r="P247" s="30"/>
      <c r="Q247" s="30"/>
      <c r="R247" s="30"/>
      <c r="S247" s="30"/>
      <c r="T247" s="30"/>
      <c r="U247" s="30"/>
      <c r="V247" s="30"/>
      <c r="W247" s="30"/>
      <c r="X247" s="30"/>
    </row>
    <row r="248" customFormat="false" ht="54.75" hidden="false" customHeight="true" outlineLevel="0" collapsed="false">
      <c r="A248" s="33"/>
      <c r="B248" s="34" t="str">
        <f aca="true">IF(C248&lt;&gt;"",TODAY(),"")</f>
        <v/>
      </c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6"/>
      <c r="O248" s="38"/>
      <c r="P248" s="35"/>
      <c r="Q248" s="35"/>
      <c r="R248" s="35"/>
      <c r="S248" s="35"/>
      <c r="T248" s="35"/>
      <c r="U248" s="35"/>
      <c r="V248" s="35"/>
      <c r="W248" s="35"/>
      <c r="X248" s="35"/>
    </row>
    <row r="249" customFormat="false" ht="54.75" hidden="false" customHeight="true" outlineLevel="0" collapsed="false">
      <c r="A249" s="28"/>
      <c r="B249" s="29" t="str">
        <f aca="true">IF(C249&lt;&gt;"",TODAY(),"")</f>
        <v/>
      </c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1"/>
      <c r="O249" s="39"/>
      <c r="P249" s="30"/>
      <c r="Q249" s="30"/>
      <c r="R249" s="30"/>
      <c r="S249" s="30"/>
      <c r="T249" s="30"/>
      <c r="U249" s="30"/>
      <c r="V249" s="30"/>
      <c r="W249" s="30"/>
      <c r="X249" s="30"/>
    </row>
    <row r="250" customFormat="false" ht="54.75" hidden="false" customHeight="true" outlineLevel="0" collapsed="false">
      <c r="A250" s="33"/>
      <c r="B250" s="34" t="str">
        <f aca="true">IF(C250&lt;&gt;"",TODAY(),"")</f>
        <v/>
      </c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6"/>
      <c r="O250" s="38"/>
      <c r="P250" s="35"/>
      <c r="Q250" s="35"/>
      <c r="R250" s="35"/>
      <c r="S250" s="35"/>
      <c r="T250" s="35"/>
      <c r="U250" s="35"/>
      <c r="V250" s="35"/>
      <c r="W250" s="35"/>
      <c r="X250" s="35"/>
    </row>
    <row r="251" customFormat="false" ht="54.75" hidden="false" customHeight="true" outlineLevel="0" collapsed="false">
      <c r="A251" s="28"/>
      <c r="B251" s="29" t="str">
        <f aca="true">IF(C251&lt;&gt;"",TODAY(),"")</f>
        <v/>
      </c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1"/>
      <c r="O251" s="39"/>
      <c r="P251" s="30"/>
      <c r="Q251" s="30"/>
      <c r="R251" s="30"/>
      <c r="S251" s="30"/>
      <c r="T251" s="30"/>
      <c r="U251" s="30"/>
      <c r="V251" s="30"/>
      <c r="W251" s="30"/>
      <c r="X251" s="30"/>
    </row>
    <row r="252" customFormat="false" ht="54.75" hidden="false" customHeight="true" outlineLevel="0" collapsed="false">
      <c r="A252" s="33"/>
      <c r="B252" s="34" t="str">
        <f aca="true">IF(C252&lt;&gt;"",TODAY(),"")</f>
        <v/>
      </c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6"/>
      <c r="O252" s="38"/>
      <c r="P252" s="35"/>
      <c r="Q252" s="35"/>
      <c r="R252" s="35"/>
      <c r="S252" s="35"/>
      <c r="T252" s="35"/>
      <c r="U252" s="35"/>
      <c r="V252" s="35"/>
      <c r="W252" s="35"/>
      <c r="X252" s="35"/>
    </row>
    <row r="253" customFormat="false" ht="54.75" hidden="false" customHeight="true" outlineLevel="0" collapsed="false">
      <c r="A253" s="28"/>
      <c r="B253" s="29" t="str">
        <f aca="true">IF(C253&lt;&gt;"",TODAY(),"")</f>
        <v/>
      </c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1"/>
      <c r="O253" s="39"/>
      <c r="P253" s="30"/>
      <c r="Q253" s="30"/>
      <c r="R253" s="30"/>
      <c r="S253" s="30"/>
      <c r="T253" s="30"/>
      <c r="U253" s="30"/>
      <c r="V253" s="30"/>
      <c r="W253" s="30"/>
      <c r="X253" s="30"/>
    </row>
    <row r="254" customFormat="false" ht="54.75" hidden="false" customHeight="true" outlineLevel="0" collapsed="false">
      <c r="A254" s="33"/>
      <c r="B254" s="34" t="str">
        <f aca="true">IF(C254&lt;&gt;"",TODAY(),"")</f>
        <v/>
      </c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6"/>
      <c r="O254" s="38"/>
      <c r="P254" s="35"/>
      <c r="Q254" s="35"/>
      <c r="R254" s="35"/>
      <c r="S254" s="35"/>
      <c r="T254" s="35"/>
      <c r="U254" s="35"/>
      <c r="V254" s="35"/>
      <c r="W254" s="35"/>
      <c r="X254" s="35"/>
    </row>
    <row r="255" customFormat="false" ht="54.75" hidden="false" customHeight="true" outlineLevel="0" collapsed="false">
      <c r="A255" s="28"/>
      <c r="B255" s="29" t="str">
        <f aca="true">IF(C255&lt;&gt;"",TODAY(),"")</f>
        <v/>
      </c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1"/>
      <c r="O255" s="39"/>
      <c r="P255" s="30"/>
      <c r="Q255" s="30"/>
      <c r="R255" s="30"/>
      <c r="S255" s="30"/>
      <c r="T255" s="30"/>
      <c r="U255" s="30"/>
      <c r="V255" s="30"/>
      <c r="W255" s="30"/>
      <c r="X255" s="30"/>
    </row>
    <row r="256" customFormat="false" ht="54.75" hidden="false" customHeight="true" outlineLevel="0" collapsed="false">
      <c r="A256" s="33"/>
      <c r="B256" s="34" t="str">
        <f aca="true">IF(C256&lt;&gt;"",TODAY(),"")</f>
        <v/>
      </c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6"/>
      <c r="O256" s="38"/>
      <c r="P256" s="35"/>
      <c r="Q256" s="35"/>
      <c r="R256" s="35"/>
      <c r="S256" s="35"/>
      <c r="T256" s="35"/>
      <c r="U256" s="35"/>
      <c r="V256" s="35"/>
      <c r="W256" s="35"/>
      <c r="X256" s="35"/>
    </row>
    <row r="257" customFormat="false" ht="54.75" hidden="false" customHeight="true" outlineLevel="0" collapsed="false">
      <c r="A257" s="28"/>
      <c r="B257" s="29" t="str">
        <f aca="true">IF(C257&lt;&gt;"",TODAY(),"")</f>
        <v/>
      </c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1"/>
      <c r="O257" s="39"/>
      <c r="P257" s="30"/>
      <c r="Q257" s="30"/>
      <c r="R257" s="30"/>
      <c r="S257" s="30"/>
      <c r="T257" s="30"/>
      <c r="U257" s="30"/>
      <c r="V257" s="30"/>
      <c r="W257" s="30"/>
      <c r="X257" s="30"/>
    </row>
    <row r="258" customFormat="false" ht="54.75" hidden="false" customHeight="true" outlineLevel="0" collapsed="false">
      <c r="A258" s="33"/>
      <c r="B258" s="34" t="str">
        <f aca="true">IF(C258&lt;&gt;"",TODAY(),"")</f>
        <v/>
      </c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6"/>
      <c r="O258" s="38"/>
      <c r="P258" s="35"/>
      <c r="Q258" s="35"/>
      <c r="R258" s="35"/>
      <c r="S258" s="35"/>
      <c r="T258" s="35"/>
      <c r="U258" s="35"/>
      <c r="V258" s="35"/>
      <c r="W258" s="35"/>
      <c r="X258" s="35"/>
    </row>
    <row r="259" customFormat="false" ht="54.75" hidden="false" customHeight="true" outlineLevel="0" collapsed="false">
      <c r="A259" s="28"/>
      <c r="B259" s="29" t="str">
        <f aca="true">IF(C259&lt;&gt;"",TODAY(),"")</f>
        <v/>
      </c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1"/>
      <c r="O259" s="39"/>
      <c r="P259" s="30"/>
      <c r="Q259" s="30"/>
      <c r="R259" s="30"/>
      <c r="S259" s="30"/>
      <c r="T259" s="30"/>
      <c r="U259" s="30"/>
      <c r="V259" s="30"/>
      <c r="W259" s="30"/>
      <c r="X259" s="30"/>
    </row>
    <row r="260" customFormat="false" ht="54.75" hidden="false" customHeight="true" outlineLevel="0" collapsed="false">
      <c r="A260" s="33"/>
      <c r="B260" s="34" t="str">
        <f aca="true">IF(C260&lt;&gt;"",TODAY(),"")</f>
        <v/>
      </c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6"/>
      <c r="O260" s="38"/>
      <c r="P260" s="35"/>
      <c r="Q260" s="35"/>
      <c r="R260" s="35"/>
      <c r="S260" s="35"/>
      <c r="T260" s="35"/>
      <c r="U260" s="35"/>
      <c r="V260" s="35"/>
      <c r="W260" s="35"/>
      <c r="X260" s="35"/>
    </row>
    <row r="261" customFormat="false" ht="54.75" hidden="false" customHeight="true" outlineLevel="0" collapsed="false">
      <c r="A261" s="28"/>
      <c r="B261" s="29" t="str">
        <f aca="true">IF(C261&lt;&gt;"",TODAY(),"")</f>
        <v/>
      </c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1"/>
      <c r="O261" s="39"/>
      <c r="P261" s="30"/>
      <c r="Q261" s="30"/>
      <c r="R261" s="30"/>
      <c r="S261" s="30"/>
      <c r="T261" s="30"/>
      <c r="U261" s="30"/>
      <c r="V261" s="30"/>
      <c r="W261" s="30"/>
      <c r="X261" s="30"/>
    </row>
    <row r="262" customFormat="false" ht="54.75" hidden="false" customHeight="true" outlineLevel="0" collapsed="false">
      <c r="A262" s="33"/>
      <c r="B262" s="34" t="str">
        <f aca="true">IF(C262&lt;&gt;"",TODAY(),"")</f>
        <v/>
      </c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6"/>
      <c r="O262" s="38"/>
      <c r="P262" s="35"/>
      <c r="Q262" s="35"/>
      <c r="R262" s="35"/>
      <c r="S262" s="35"/>
      <c r="T262" s="35"/>
      <c r="U262" s="35"/>
      <c r="V262" s="35"/>
      <c r="W262" s="35"/>
      <c r="X262" s="35"/>
    </row>
    <row r="263" customFormat="false" ht="54.75" hidden="false" customHeight="true" outlineLevel="0" collapsed="false">
      <c r="A263" s="28"/>
      <c r="B263" s="29" t="str">
        <f aca="true">IF(C263&lt;&gt;"",TODAY(),"")</f>
        <v/>
      </c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1"/>
      <c r="O263" s="39"/>
      <c r="P263" s="30"/>
      <c r="Q263" s="30"/>
      <c r="R263" s="30"/>
      <c r="S263" s="30"/>
      <c r="T263" s="30"/>
      <c r="U263" s="30"/>
      <c r="V263" s="30"/>
      <c r="W263" s="30"/>
      <c r="X263" s="30"/>
    </row>
    <row r="264" customFormat="false" ht="54.75" hidden="false" customHeight="true" outlineLevel="0" collapsed="false">
      <c r="A264" s="33"/>
      <c r="B264" s="34" t="str">
        <f aca="true">IF(C264&lt;&gt;"",TODAY(),"")</f>
        <v/>
      </c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6"/>
      <c r="O264" s="38"/>
      <c r="P264" s="35"/>
      <c r="Q264" s="35"/>
      <c r="R264" s="35"/>
      <c r="S264" s="35"/>
      <c r="T264" s="35"/>
      <c r="U264" s="35"/>
      <c r="V264" s="35"/>
      <c r="W264" s="35"/>
      <c r="X264" s="35"/>
    </row>
    <row r="265" customFormat="false" ht="54.75" hidden="false" customHeight="true" outlineLevel="0" collapsed="false">
      <c r="A265" s="28"/>
      <c r="B265" s="29" t="str">
        <f aca="true">IF(C265&lt;&gt;"",TODAY(),"")</f>
        <v/>
      </c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1"/>
      <c r="O265" s="39"/>
      <c r="P265" s="30"/>
      <c r="Q265" s="30"/>
      <c r="R265" s="30"/>
      <c r="S265" s="30"/>
      <c r="T265" s="30"/>
      <c r="U265" s="30"/>
      <c r="V265" s="30"/>
      <c r="W265" s="30"/>
      <c r="X265" s="30"/>
    </row>
    <row r="266" customFormat="false" ht="54.75" hidden="false" customHeight="true" outlineLevel="0" collapsed="false">
      <c r="A266" s="33"/>
      <c r="B266" s="34" t="str">
        <f aca="true">IF(C266&lt;&gt;"",TODAY(),"")</f>
        <v/>
      </c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6"/>
      <c r="O266" s="38"/>
      <c r="P266" s="35"/>
      <c r="Q266" s="35"/>
      <c r="R266" s="35"/>
      <c r="S266" s="35"/>
      <c r="T266" s="35"/>
      <c r="U266" s="35"/>
      <c r="V266" s="35"/>
      <c r="W266" s="35"/>
      <c r="X266" s="35"/>
    </row>
    <row r="267" customFormat="false" ht="54.75" hidden="false" customHeight="true" outlineLevel="0" collapsed="false">
      <c r="A267" s="28"/>
      <c r="B267" s="29" t="str">
        <f aca="true">IF(C267&lt;&gt;"",TODAY(),"")</f>
        <v/>
      </c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1"/>
      <c r="O267" s="39"/>
      <c r="P267" s="30"/>
      <c r="Q267" s="30"/>
      <c r="R267" s="30"/>
      <c r="S267" s="30"/>
      <c r="T267" s="30"/>
      <c r="U267" s="30"/>
      <c r="V267" s="30"/>
      <c r="W267" s="30"/>
      <c r="X267" s="30"/>
    </row>
    <row r="268" customFormat="false" ht="54.75" hidden="false" customHeight="true" outlineLevel="0" collapsed="false">
      <c r="A268" s="33"/>
      <c r="B268" s="34" t="str">
        <f aca="true">IF(C268&lt;&gt;"",TODAY(),"")</f>
        <v/>
      </c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6"/>
      <c r="O268" s="38"/>
      <c r="P268" s="35"/>
      <c r="Q268" s="35"/>
      <c r="R268" s="35"/>
      <c r="S268" s="35"/>
      <c r="T268" s="35"/>
      <c r="U268" s="35"/>
      <c r="V268" s="35"/>
      <c r="W268" s="35"/>
      <c r="X268" s="35"/>
    </row>
    <row r="269" customFormat="false" ht="54.75" hidden="false" customHeight="true" outlineLevel="0" collapsed="false">
      <c r="A269" s="28"/>
      <c r="B269" s="29" t="str">
        <f aca="true">IF(C269&lt;&gt;"",TODAY(),"")</f>
        <v/>
      </c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1"/>
      <c r="O269" s="39"/>
      <c r="P269" s="30"/>
      <c r="Q269" s="30"/>
      <c r="R269" s="30"/>
      <c r="S269" s="30"/>
      <c r="T269" s="30"/>
      <c r="U269" s="30"/>
      <c r="V269" s="30"/>
      <c r="W269" s="30"/>
      <c r="X269" s="30"/>
    </row>
    <row r="270" customFormat="false" ht="54.75" hidden="false" customHeight="true" outlineLevel="0" collapsed="false">
      <c r="A270" s="33"/>
      <c r="B270" s="34" t="str">
        <f aca="true">IF(C270&lt;&gt;"",TODAY(),"")</f>
        <v/>
      </c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6"/>
      <c r="O270" s="38"/>
      <c r="P270" s="35"/>
      <c r="Q270" s="35"/>
      <c r="R270" s="35"/>
      <c r="S270" s="35"/>
      <c r="T270" s="35"/>
      <c r="U270" s="35"/>
      <c r="V270" s="35"/>
      <c r="W270" s="35"/>
      <c r="X270" s="35"/>
    </row>
    <row r="271" customFormat="false" ht="54.75" hidden="false" customHeight="true" outlineLevel="0" collapsed="false">
      <c r="A271" s="28"/>
      <c r="B271" s="29" t="str">
        <f aca="true">IF(C271&lt;&gt;"",TODAY(),"")</f>
        <v/>
      </c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1"/>
      <c r="O271" s="39"/>
      <c r="P271" s="30"/>
      <c r="Q271" s="30"/>
      <c r="R271" s="30"/>
      <c r="S271" s="30"/>
      <c r="T271" s="30"/>
      <c r="U271" s="30"/>
      <c r="V271" s="30"/>
      <c r="W271" s="30"/>
      <c r="X271" s="30"/>
    </row>
    <row r="272" customFormat="false" ht="54.75" hidden="false" customHeight="true" outlineLevel="0" collapsed="false">
      <c r="A272" s="33"/>
      <c r="B272" s="34" t="str">
        <f aca="true">IF(C272&lt;&gt;"",TODAY(),"")</f>
        <v/>
      </c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6"/>
      <c r="O272" s="38"/>
      <c r="P272" s="35"/>
      <c r="Q272" s="35"/>
      <c r="R272" s="35"/>
      <c r="S272" s="35"/>
      <c r="T272" s="35"/>
      <c r="U272" s="35"/>
      <c r="V272" s="35"/>
      <c r="W272" s="35"/>
      <c r="X272" s="35"/>
    </row>
    <row r="273" customFormat="false" ht="54.75" hidden="false" customHeight="true" outlineLevel="0" collapsed="false">
      <c r="A273" s="28"/>
      <c r="B273" s="29" t="str">
        <f aca="true">IF(C273&lt;&gt;"",TODAY(),"")</f>
        <v/>
      </c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1"/>
      <c r="O273" s="39"/>
      <c r="P273" s="30"/>
      <c r="Q273" s="30"/>
      <c r="R273" s="30"/>
      <c r="S273" s="30"/>
      <c r="T273" s="30"/>
      <c r="U273" s="30"/>
      <c r="V273" s="30"/>
      <c r="W273" s="30"/>
      <c r="X273" s="30"/>
    </row>
    <row r="274" customFormat="false" ht="54.75" hidden="false" customHeight="true" outlineLevel="0" collapsed="false">
      <c r="A274" s="33"/>
      <c r="B274" s="34" t="str">
        <f aca="true">IF(C274&lt;&gt;"",TODAY(),"")</f>
        <v/>
      </c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6"/>
      <c r="O274" s="38"/>
      <c r="P274" s="35"/>
      <c r="Q274" s="35"/>
      <c r="R274" s="35"/>
      <c r="S274" s="35"/>
      <c r="T274" s="35"/>
      <c r="U274" s="35"/>
      <c r="V274" s="35"/>
      <c r="W274" s="35"/>
      <c r="X274" s="35"/>
    </row>
    <row r="275" customFormat="false" ht="54.75" hidden="false" customHeight="true" outlineLevel="0" collapsed="false">
      <c r="A275" s="28"/>
      <c r="B275" s="29" t="str">
        <f aca="true">IF(C275&lt;&gt;"",TODAY(),"")</f>
        <v/>
      </c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1"/>
      <c r="O275" s="39"/>
      <c r="P275" s="30"/>
      <c r="Q275" s="30"/>
      <c r="R275" s="30"/>
      <c r="S275" s="30"/>
      <c r="T275" s="30"/>
      <c r="U275" s="30"/>
      <c r="V275" s="30"/>
      <c r="W275" s="30"/>
      <c r="X275" s="30"/>
    </row>
    <row r="276" customFormat="false" ht="54.75" hidden="false" customHeight="true" outlineLevel="0" collapsed="false">
      <c r="A276" s="33"/>
      <c r="B276" s="34" t="str">
        <f aca="true">IF(C276&lt;&gt;"",TODAY(),"")</f>
        <v/>
      </c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6"/>
      <c r="O276" s="38"/>
      <c r="P276" s="35"/>
      <c r="Q276" s="35"/>
      <c r="R276" s="35"/>
      <c r="S276" s="35"/>
      <c r="T276" s="35"/>
      <c r="U276" s="35"/>
      <c r="V276" s="35"/>
      <c r="W276" s="35"/>
      <c r="X276" s="35"/>
    </row>
    <row r="277" customFormat="false" ht="54.75" hidden="false" customHeight="true" outlineLevel="0" collapsed="false">
      <c r="A277" s="28"/>
      <c r="B277" s="29" t="str">
        <f aca="true">IF(C277&lt;&gt;"",TODAY(),"")</f>
        <v/>
      </c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1"/>
      <c r="O277" s="39"/>
      <c r="P277" s="30"/>
      <c r="Q277" s="30"/>
      <c r="R277" s="30"/>
      <c r="S277" s="30"/>
      <c r="T277" s="30"/>
      <c r="U277" s="30"/>
      <c r="V277" s="30"/>
      <c r="W277" s="30"/>
      <c r="X277" s="30"/>
    </row>
    <row r="278" customFormat="false" ht="54.75" hidden="false" customHeight="true" outlineLevel="0" collapsed="false">
      <c r="A278" s="33"/>
      <c r="B278" s="34" t="str">
        <f aca="true">IF(C278&lt;&gt;"",TODAY(),"")</f>
        <v/>
      </c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6"/>
      <c r="O278" s="38"/>
      <c r="P278" s="35"/>
      <c r="Q278" s="35"/>
      <c r="R278" s="35"/>
      <c r="S278" s="35"/>
      <c r="T278" s="35"/>
      <c r="U278" s="35"/>
      <c r="V278" s="35"/>
      <c r="W278" s="35"/>
      <c r="X278" s="35"/>
    </row>
    <row r="279" customFormat="false" ht="54.75" hidden="false" customHeight="true" outlineLevel="0" collapsed="false">
      <c r="A279" s="28"/>
      <c r="B279" s="29" t="str">
        <f aca="true">IF(C279&lt;&gt;"",TODAY(),"")</f>
        <v/>
      </c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1"/>
      <c r="O279" s="39"/>
      <c r="P279" s="30"/>
      <c r="Q279" s="30"/>
      <c r="R279" s="30"/>
      <c r="S279" s="30"/>
      <c r="T279" s="30"/>
      <c r="U279" s="30"/>
      <c r="V279" s="30"/>
      <c r="W279" s="30"/>
      <c r="X279" s="30"/>
    </row>
    <row r="280" customFormat="false" ht="54.75" hidden="false" customHeight="true" outlineLevel="0" collapsed="false">
      <c r="A280" s="33"/>
      <c r="B280" s="34" t="str">
        <f aca="true">IF(C280&lt;&gt;"",TODAY(),"")</f>
        <v/>
      </c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6"/>
      <c r="O280" s="38"/>
      <c r="P280" s="35"/>
      <c r="Q280" s="35"/>
      <c r="R280" s="35"/>
      <c r="S280" s="35"/>
      <c r="T280" s="35"/>
      <c r="U280" s="35"/>
      <c r="V280" s="35"/>
      <c r="W280" s="35"/>
      <c r="X280" s="35"/>
    </row>
    <row r="281" customFormat="false" ht="54.75" hidden="false" customHeight="true" outlineLevel="0" collapsed="false">
      <c r="A281" s="28"/>
      <c r="B281" s="29" t="str">
        <f aca="true">IF(C281&lt;&gt;"",TODAY(),"")</f>
        <v/>
      </c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1"/>
      <c r="O281" s="39"/>
      <c r="P281" s="30"/>
      <c r="Q281" s="30"/>
      <c r="R281" s="30"/>
      <c r="S281" s="30"/>
      <c r="T281" s="30"/>
      <c r="U281" s="30"/>
      <c r="V281" s="30"/>
      <c r="W281" s="30"/>
      <c r="X281" s="30"/>
    </row>
    <row r="282" customFormat="false" ht="54.75" hidden="false" customHeight="true" outlineLevel="0" collapsed="false">
      <c r="A282" s="33"/>
      <c r="B282" s="34" t="str">
        <f aca="true">IF(C282&lt;&gt;"",TODAY(),"")</f>
        <v/>
      </c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6"/>
      <c r="O282" s="38"/>
      <c r="P282" s="35"/>
      <c r="Q282" s="35"/>
      <c r="R282" s="35"/>
      <c r="S282" s="35"/>
      <c r="T282" s="35"/>
      <c r="U282" s="35"/>
      <c r="V282" s="35"/>
      <c r="W282" s="35"/>
      <c r="X282" s="35"/>
    </row>
    <row r="283" customFormat="false" ht="54.75" hidden="false" customHeight="true" outlineLevel="0" collapsed="false">
      <c r="A283" s="28"/>
      <c r="B283" s="29" t="str">
        <f aca="true">IF(C283&lt;&gt;"",TODAY(),"")</f>
        <v/>
      </c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1"/>
      <c r="O283" s="39"/>
      <c r="P283" s="30"/>
      <c r="Q283" s="30"/>
      <c r="R283" s="30"/>
      <c r="S283" s="30"/>
      <c r="T283" s="30"/>
      <c r="U283" s="30"/>
      <c r="V283" s="30"/>
      <c r="W283" s="30"/>
      <c r="X283" s="30"/>
    </row>
    <row r="284" customFormat="false" ht="54.75" hidden="false" customHeight="true" outlineLevel="0" collapsed="false">
      <c r="A284" s="33"/>
      <c r="B284" s="34" t="str">
        <f aca="true">IF(C284&lt;&gt;"",TODAY(),"")</f>
        <v/>
      </c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6"/>
      <c r="O284" s="38"/>
      <c r="P284" s="35"/>
      <c r="Q284" s="35"/>
      <c r="R284" s="35"/>
      <c r="S284" s="35"/>
      <c r="T284" s="35"/>
      <c r="U284" s="35"/>
      <c r="V284" s="35"/>
      <c r="W284" s="35"/>
      <c r="X284" s="35"/>
    </row>
    <row r="285" customFormat="false" ht="54.75" hidden="false" customHeight="true" outlineLevel="0" collapsed="false">
      <c r="A285" s="28"/>
      <c r="B285" s="29" t="str">
        <f aca="true">IF(C285&lt;&gt;"",TODAY(),"")</f>
        <v/>
      </c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1"/>
      <c r="O285" s="39"/>
      <c r="P285" s="30"/>
      <c r="Q285" s="30"/>
      <c r="R285" s="30"/>
      <c r="S285" s="30"/>
      <c r="T285" s="30"/>
      <c r="U285" s="30"/>
      <c r="V285" s="30"/>
      <c r="W285" s="30"/>
      <c r="X285" s="30"/>
    </row>
    <row r="286" customFormat="false" ht="54.75" hidden="false" customHeight="true" outlineLevel="0" collapsed="false">
      <c r="A286" s="33"/>
      <c r="B286" s="34" t="str">
        <f aca="true">IF(C286&lt;&gt;"",TODAY(),"")</f>
        <v/>
      </c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6"/>
      <c r="O286" s="38"/>
      <c r="P286" s="35"/>
      <c r="Q286" s="35"/>
      <c r="R286" s="35"/>
      <c r="S286" s="35"/>
      <c r="T286" s="35"/>
      <c r="U286" s="35"/>
      <c r="V286" s="35"/>
      <c r="W286" s="35"/>
      <c r="X286" s="35"/>
    </row>
    <row r="287" customFormat="false" ht="54.75" hidden="false" customHeight="true" outlineLevel="0" collapsed="false">
      <c r="A287" s="28"/>
      <c r="B287" s="29" t="str">
        <f aca="true">IF(C287&lt;&gt;"",TODAY(),"")</f>
        <v/>
      </c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1"/>
      <c r="O287" s="39"/>
      <c r="P287" s="30"/>
      <c r="Q287" s="30"/>
      <c r="R287" s="30"/>
      <c r="S287" s="30"/>
      <c r="T287" s="30"/>
      <c r="U287" s="30"/>
      <c r="V287" s="30"/>
      <c r="W287" s="30"/>
      <c r="X287" s="30"/>
    </row>
    <row r="288" customFormat="false" ht="54.75" hidden="false" customHeight="true" outlineLevel="0" collapsed="false">
      <c r="A288" s="33"/>
      <c r="B288" s="34" t="str">
        <f aca="true">IF(C288&lt;&gt;"",TODAY(),"")</f>
        <v/>
      </c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6"/>
      <c r="O288" s="38"/>
      <c r="P288" s="35"/>
      <c r="Q288" s="35"/>
      <c r="R288" s="35"/>
      <c r="S288" s="35"/>
      <c r="T288" s="35"/>
      <c r="U288" s="35"/>
      <c r="V288" s="35"/>
      <c r="W288" s="35"/>
      <c r="X288" s="35"/>
    </row>
    <row r="289" customFormat="false" ht="54.75" hidden="false" customHeight="true" outlineLevel="0" collapsed="false">
      <c r="A289" s="28"/>
      <c r="B289" s="29" t="str">
        <f aca="true">IF(C289&lt;&gt;"",TODAY(),"")</f>
        <v/>
      </c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1"/>
      <c r="O289" s="39"/>
      <c r="P289" s="30"/>
      <c r="Q289" s="30"/>
      <c r="R289" s="30"/>
      <c r="S289" s="30"/>
      <c r="T289" s="30"/>
      <c r="U289" s="30"/>
      <c r="V289" s="30"/>
      <c r="W289" s="30"/>
      <c r="X289" s="30"/>
    </row>
    <row r="290" customFormat="false" ht="54.75" hidden="false" customHeight="true" outlineLevel="0" collapsed="false">
      <c r="A290" s="33"/>
      <c r="B290" s="34" t="str">
        <f aca="true">IF(C290&lt;&gt;"",TODAY(),"")</f>
        <v/>
      </c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6"/>
      <c r="O290" s="38"/>
      <c r="P290" s="35"/>
      <c r="Q290" s="35"/>
      <c r="R290" s="35"/>
      <c r="S290" s="35"/>
      <c r="T290" s="35"/>
      <c r="U290" s="35"/>
      <c r="V290" s="35"/>
      <c r="W290" s="35"/>
      <c r="X290" s="35"/>
    </row>
    <row r="291" customFormat="false" ht="54.75" hidden="false" customHeight="true" outlineLevel="0" collapsed="false">
      <c r="A291" s="28"/>
      <c r="B291" s="29" t="str">
        <f aca="true">IF(C291&lt;&gt;"",TODAY(),"")</f>
        <v/>
      </c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1"/>
      <c r="O291" s="39"/>
      <c r="P291" s="30"/>
      <c r="Q291" s="30"/>
      <c r="R291" s="30"/>
      <c r="S291" s="30"/>
      <c r="T291" s="30"/>
      <c r="U291" s="30"/>
      <c r="V291" s="30"/>
      <c r="W291" s="30"/>
      <c r="X291" s="30"/>
    </row>
    <row r="292" customFormat="false" ht="54.75" hidden="false" customHeight="true" outlineLevel="0" collapsed="false">
      <c r="A292" s="33"/>
      <c r="B292" s="34" t="str">
        <f aca="true">IF(C292&lt;&gt;"",TODAY(),"")</f>
        <v/>
      </c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6"/>
      <c r="O292" s="38"/>
      <c r="P292" s="35"/>
      <c r="Q292" s="35"/>
      <c r="R292" s="35"/>
      <c r="S292" s="35"/>
      <c r="T292" s="35"/>
      <c r="U292" s="35"/>
      <c r="V292" s="35"/>
      <c r="W292" s="35"/>
      <c r="X292" s="35"/>
    </row>
    <row r="293" customFormat="false" ht="54.75" hidden="false" customHeight="true" outlineLevel="0" collapsed="false">
      <c r="A293" s="28"/>
      <c r="B293" s="29" t="str">
        <f aca="true">IF(C293&lt;&gt;"",TODAY(),"")</f>
        <v/>
      </c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1"/>
      <c r="O293" s="39"/>
      <c r="P293" s="30"/>
      <c r="Q293" s="30"/>
      <c r="R293" s="30"/>
      <c r="S293" s="30"/>
      <c r="T293" s="30"/>
      <c r="U293" s="30"/>
      <c r="V293" s="30"/>
      <c r="W293" s="30"/>
      <c r="X293" s="30"/>
    </row>
    <row r="294" customFormat="false" ht="54.75" hidden="false" customHeight="true" outlineLevel="0" collapsed="false">
      <c r="A294" s="33"/>
      <c r="B294" s="34" t="str">
        <f aca="true">IF(C294&lt;&gt;"",TODAY(),"")</f>
        <v/>
      </c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6"/>
      <c r="O294" s="38"/>
      <c r="P294" s="35"/>
      <c r="Q294" s="35"/>
      <c r="R294" s="35"/>
      <c r="S294" s="35"/>
      <c r="T294" s="35"/>
      <c r="U294" s="35"/>
      <c r="V294" s="35"/>
      <c r="W294" s="35"/>
      <c r="X294" s="35"/>
    </row>
    <row r="295" customFormat="false" ht="54.75" hidden="false" customHeight="true" outlineLevel="0" collapsed="false">
      <c r="A295" s="28"/>
      <c r="B295" s="29" t="str">
        <f aca="true">IF(C295&lt;&gt;"",TODAY(),"")</f>
        <v/>
      </c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1"/>
      <c r="O295" s="39"/>
      <c r="P295" s="30"/>
      <c r="Q295" s="30"/>
      <c r="R295" s="30"/>
      <c r="S295" s="30"/>
      <c r="T295" s="30"/>
      <c r="U295" s="30"/>
      <c r="V295" s="30"/>
      <c r="W295" s="30"/>
      <c r="X295" s="30"/>
    </row>
    <row r="296" customFormat="false" ht="54.75" hidden="false" customHeight="true" outlineLevel="0" collapsed="false">
      <c r="A296" s="33"/>
      <c r="B296" s="34" t="str">
        <f aca="true">IF(C296&lt;&gt;"",TODAY(),"")</f>
        <v/>
      </c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6"/>
      <c r="O296" s="38"/>
      <c r="P296" s="35"/>
      <c r="Q296" s="35"/>
      <c r="R296" s="35"/>
      <c r="S296" s="35"/>
      <c r="T296" s="35"/>
      <c r="U296" s="35"/>
      <c r="V296" s="35"/>
      <c r="W296" s="35"/>
      <c r="X296" s="35"/>
    </row>
    <row r="297" customFormat="false" ht="54.75" hidden="false" customHeight="true" outlineLevel="0" collapsed="false">
      <c r="A297" s="28"/>
      <c r="B297" s="29" t="str">
        <f aca="true">IF(C297&lt;&gt;"",TODAY(),"")</f>
        <v/>
      </c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1"/>
      <c r="O297" s="39"/>
      <c r="P297" s="30"/>
      <c r="Q297" s="30"/>
      <c r="R297" s="30"/>
      <c r="S297" s="30"/>
      <c r="T297" s="30"/>
      <c r="U297" s="30"/>
      <c r="V297" s="30"/>
      <c r="W297" s="30"/>
      <c r="X297" s="30"/>
    </row>
    <row r="298" customFormat="false" ht="54.75" hidden="false" customHeight="true" outlineLevel="0" collapsed="false">
      <c r="A298" s="33"/>
      <c r="B298" s="34" t="str">
        <f aca="true">IF(C298&lt;&gt;"",TODAY(),"")</f>
        <v/>
      </c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6"/>
      <c r="O298" s="38"/>
      <c r="P298" s="35"/>
      <c r="Q298" s="35"/>
      <c r="R298" s="35"/>
      <c r="S298" s="35"/>
      <c r="T298" s="35"/>
      <c r="U298" s="35"/>
      <c r="V298" s="35"/>
      <c r="W298" s="35"/>
      <c r="X298" s="35"/>
    </row>
    <row r="299" customFormat="false" ht="54.75" hidden="false" customHeight="true" outlineLevel="0" collapsed="false">
      <c r="A299" s="28"/>
      <c r="B299" s="29" t="str">
        <f aca="true">IF(C299&lt;&gt;"",TODAY(),"")</f>
        <v/>
      </c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1"/>
      <c r="O299" s="39"/>
      <c r="P299" s="30"/>
      <c r="Q299" s="30"/>
      <c r="R299" s="30"/>
      <c r="S299" s="30"/>
      <c r="T299" s="30"/>
      <c r="U299" s="30"/>
      <c r="V299" s="30"/>
      <c r="W299" s="30"/>
      <c r="X299" s="30"/>
    </row>
    <row r="300" customFormat="false" ht="54.75" hidden="false" customHeight="true" outlineLevel="0" collapsed="false">
      <c r="A300" s="33"/>
      <c r="B300" s="34" t="str">
        <f aca="true">IF(C300&lt;&gt;"",TODAY(),"")</f>
        <v/>
      </c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6"/>
      <c r="O300" s="38"/>
      <c r="P300" s="35"/>
      <c r="Q300" s="35"/>
      <c r="R300" s="35"/>
      <c r="S300" s="35"/>
      <c r="T300" s="35"/>
      <c r="U300" s="35"/>
      <c r="V300" s="35"/>
      <c r="W300" s="35"/>
      <c r="X300" s="35"/>
    </row>
    <row r="301" customFormat="false" ht="54.75" hidden="false" customHeight="true" outlineLevel="0" collapsed="false">
      <c r="A301" s="28"/>
      <c r="B301" s="29" t="str">
        <f aca="true">IF(C301&lt;&gt;"",TODAY(),"")</f>
        <v/>
      </c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1"/>
      <c r="O301" s="39"/>
      <c r="P301" s="30"/>
      <c r="Q301" s="30"/>
      <c r="R301" s="30"/>
      <c r="S301" s="30"/>
      <c r="T301" s="30"/>
      <c r="U301" s="30"/>
      <c r="V301" s="30"/>
      <c r="W301" s="30"/>
      <c r="X301" s="30"/>
    </row>
    <row r="302" customFormat="false" ht="54.75" hidden="false" customHeight="true" outlineLevel="0" collapsed="false">
      <c r="A302" s="33"/>
      <c r="B302" s="34" t="str">
        <f aca="true">IF(C302&lt;&gt;"",TODAY(),"")</f>
        <v/>
      </c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6"/>
      <c r="O302" s="38"/>
      <c r="P302" s="35"/>
      <c r="Q302" s="35"/>
      <c r="R302" s="35"/>
      <c r="S302" s="35"/>
      <c r="T302" s="35"/>
      <c r="U302" s="35"/>
      <c r="V302" s="35"/>
      <c r="W302" s="35"/>
      <c r="X302" s="35"/>
    </row>
    <row r="303" customFormat="false" ht="54.75" hidden="false" customHeight="true" outlineLevel="0" collapsed="false">
      <c r="A303" s="28"/>
      <c r="B303" s="29" t="str">
        <f aca="true">IF(C303&lt;&gt;"",TODAY(),"")</f>
        <v/>
      </c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1"/>
      <c r="O303" s="39"/>
      <c r="P303" s="30"/>
      <c r="Q303" s="30"/>
      <c r="R303" s="30"/>
      <c r="S303" s="30"/>
      <c r="T303" s="30"/>
      <c r="U303" s="30"/>
      <c r="V303" s="30"/>
      <c r="W303" s="30"/>
      <c r="X303" s="30"/>
    </row>
    <row r="304" customFormat="false" ht="54.75" hidden="false" customHeight="true" outlineLevel="0" collapsed="false">
      <c r="A304" s="33"/>
      <c r="B304" s="34" t="str">
        <f aca="true">IF(C304&lt;&gt;"",TODAY(),"")</f>
        <v/>
      </c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6"/>
      <c r="O304" s="38"/>
      <c r="P304" s="35"/>
      <c r="Q304" s="35"/>
      <c r="R304" s="35"/>
      <c r="S304" s="35"/>
      <c r="T304" s="35"/>
      <c r="U304" s="35"/>
      <c r="V304" s="35"/>
      <c r="W304" s="35"/>
      <c r="X304" s="35"/>
    </row>
    <row r="305" customFormat="false" ht="54.75" hidden="false" customHeight="true" outlineLevel="0" collapsed="false">
      <c r="A305" s="28"/>
      <c r="B305" s="29" t="str">
        <f aca="true">IF(C305&lt;&gt;"",TODAY(),"")</f>
        <v/>
      </c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1"/>
      <c r="O305" s="39"/>
      <c r="P305" s="30"/>
      <c r="Q305" s="30"/>
      <c r="R305" s="30"/>
      <c r="S305" s="30"/>
      <c r="T305" s="30"/>
      <c r="U305" s="30"/>
      <c r="V305" s="30"/>
      <c r="W305" s="30"/>
      <c r="X305" s="30"/>
    </row>
    <row r="306" customFormat="false" ht="54.75" hidden="false" customHeight="true" outlineLevel="0" collapsed="false">
      <c r="A306" s="33"/>
      <c r="B306" s="34" t="str">
        <f aca="true">IF(C306&lt;&gt;"",TODAY(),"")</f>
        <v/>
      </c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6"/>
      <c r="O306" s="38"/>
      <c r="P306" s="35"/>
      <c r="Q306" s="35"/>
      <c r="R306" s="35"/>
      <c r="S306" s="35"/>
      <c r="T306" s="35"/>
      <c r="U306" s="35"/>
      <c r="V306" s="35"/>
      <c r="W306" s="35"/>
      <c r="X306" s="35"/>
    </row>
    <row r="307" customFormat="false" ht="54.75" hidden="false" customHeight="true" outlineLevel="0" collapsed="false">
      <c r="A307" s="28"/>
      <c r="B307" s="29" t="str">
        <f aca="true">IF(C307&lt;&gt;"",TODAY(),"")</f>
        <v/>
      </c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1"/>
      <c r="O307" s="39"/>
      <c r="P307" s="30"/>
      <c r="Q307" s="30"/>
      <c r="R307" s="30"/>
      <c r="S307" s="30"/>
      <c r="T307" s="30"/>
      <c r="U307" s="30"/>
      <c r="V307" s="30"/>
      <c r="W307" s="30"/>
      <c r="X307" s="30"/>
    </row>
    <row r="308" customFormat="false" ht="54.75" hidden="false" customHeight="true" outlineLevel="0" collapsed="false">
      <c r="A308" s="33"/>
      <c r="B308" s="34" t="str">
        <f aca="true">IF(C308&lt;&gt;"",TODAY(),"")</f>
        <v/>
      </c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6"/>
      <c r="O308" s="38"/>
      <c r="P308" s="35"/>
      <c r="Q308" s="35"/>
      <c r="R308" s="35"/>
      <c r="S308" s="35"/>
      <c r="T308" s="35"/>
      <c r="U308" s="35"/>
      <c r="V308" s="35"/>
      <c r="W308" s="35"/>
      <c r="X308" s="35"/>
    </row>
    <row r="309" customFormat="false" ht="54.75" hidden="false" customHeight="true" outlineLevel="0" collapsed="false">
      <c r="A309" s="28"/>
      <c r="B309" s="29" t="str">
        <f aca="true">IF(C309&lt;&gt;"",TODAY(),"")</f>
        <v/>
      </c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1"/>
      <c r="O309" s="39"/>
      <c r="P309" s="30"/>
      <c r="Q309" s="30"/>
      <c r="R309" s="30"/>
      <c r="S309" s="30"/>
      <c r="T309" s="30"/>
      <c r="U309" s="30"/>
      <c r="V309" s="30"/>
      <c r="W309" s="30"/>
      <c r="X309" s="30"/>
    </row>
    <row r="310" customFormat="false" ht="54.75" hidden="false" customHeight="true" outlineLevel="0" collapsed="false">
      <c r="A310" s="33"/>
      <c r="B310" s="34" t="str">
        <f aca="true">IF(C310&lt;&gt;"",TODAY(),"")</f>
        <v/>
      </c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6"/>
      <c r="O310" s="38"/>
      <c r="P310" s="35"/>
      <c r="Q310" s="35"/>
      <c r="R310" s="35"/>
      <c r="S310" s="35"/>
      <c r="T310" s="35"/>
      <c r="U310" s="35"/>
      <c r="V310" s="35"/>
      <c r="W310" s="35"/>
      <c r="X310" s="35"/>
    </row>
    <row r="311" customFormat="false" ht="54.75" hidden="false" customHeight="true" outlineLevel="0" collapsed="false">
      <c r="A311" s="28"/>
      <c r="B311" s="29" t="str">
        <f aca="true">IF(C311&lt;&gt;"",TODAY(),"")</f>
        <v/>
      </c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1"/>
      <c r="O311" s="39"/>
      <c r="P311" s="30"/>
      <c r="Q311" s="30"/>
      <c r="R311" s="30"/>
      <c r="S311" s="30"/>
      <c r="T311" s="30"/>
      <c r="U311" s="30"/>
      <c r="V311" s="30"/>
      <c r="W311" s="30"/>
      <c r="X311" s="30"/>
    </row>
    <row r="312" customFormat="false" ht="54.75" hidden="false" customHeight="true" outlineLevel="0" collapsed="false">
      <c r="A312" s="33"/>
      <c r="B312" s="34" t="str">
        <f aca="true">IF(C312&lt;&gt;"",TODAY(),"")</f>
        <v/>
      </c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6"/>
      <c r="O312" s="38"/>
      <c r="P312" s="35"/>
      <c r="Q312" s="35"/>
      <c r="R312" s="35"/>
      <c r="S312" s="35"/>
      <c r="T312" s="35"/>
      <c r="U312" s="35"/>
      <c r="V312" s="35"/>
      <c r="W312" s="35"/>
      <c r="X312" s="35"/>
    </row>
    <row r="313" customFormat="false" ht="54.75" hidden="false" customHeight="true" outlineLevel="0" collapsed="false">
      <c r="A313" s="28"/>
      <c r="B313" s="29" t="str">
        <f aca="true">IF(C313&lt;&gt;"",TODAY(),"")</f>
        <v/>
      </c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1"/>
      <c r="O313" s="39"/>
      <c r="P313" s="30"/>
      <c r="Q313" s="30"/>
      <c r="R313" s="30"/>
      <c r="S313" s="30"/>
      <c r="T313" s="30"/>
      <c r="U313" s="30"/>
      <c r="V313" s="30"/>
      <c r="W313" s="30"/>
      <c r="X313" s="30"/>
    </row>
    <row r="314" customFormat="false" ht="54.75" hidden="false" customHeight="true" outlineLevel="0" collapsed="false">
      <c r="A314" s="33"/>
      <c r="B314" s="34" t="str">
        <f aca="true">IF(C314&lt;&gt;"",TODAY(),"")</f>
        <v/>
      </c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6"/>
      <c r="O314" s="38"/>
      <c r="P314" s="35"/>
      <c r="Q314" s="35"/>
      <c r="R314" s="35"/>
      <c r="S314" s="35"/>
      <c r="T314" s="35"/>
      <c r="U314" s="35"/>
      <c r="V314" s="35"/>
      <c r="W314" s="35"/>
      <c r="X314" s="35"/>
    </row>
    <row r="315" customFormat="false" ht="54.75" hidden="false" customHeight="true" outlineLevel="0" collapsed="false">
      <c r="A315" s="28"/>
      <c r="B315" s="29" t="str">
        <f aca="true">IF(C315&lt;&gt;"",TODAY(),"")</f>
        <v/>
      </c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1"/>
      <c r="O315" s="39"/>
      <c r="P315" s="30"/>
      <c r="Q315" s="30"/>
      <c r="R315" s="30"/>
      <c r="S315" s="30"/>
      <c r="T315" s="30"/>
      <c r="U315" s="30"/>
      <c r="V315" s="30"/>
      <c r="W315" s="30"/>
      <c r="X315" s="30"/>
    </row>
    <row r="316" customFormat="false" ht="54.75" hidden="false" customHeight="true" outlineLevel="0" collapsed="false">
      <c r="A316" s="33"/>
      <c r="B316" s="34" t="str">
        <f aca="true">IF(C316&lt;&gt;"",TODAY(),"")</f>
        <v/>
      </c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6"/>
      <c r="O316" s="38"/>
      <c r="P316" s="35"/>
      <c r="Q316" s="35"/>
      <c r="R316" s="35"/>
      <c r="S316" s="35"/>
      <c r="T316" s="35"/>
      <c r="U316" s="35"/>
      <c r="V316" s="35"/>
      <c r="W316" s="35"/>
      <c r="X316" s="35"/>
    </row>
    <row r="317" customFormat="false" ht="54.75" hidden="false" customHeight="true" outlineLevel="0" collapsed="false">
      <c r="A317" s="28"/>
      <c r="B317" s="29" t="str">
        <f aca="true">IF(C317&lt;&gt;"",TODAY(),"")</f>
        <v/>
      </c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1"/>
      <c r="O317" s="39"/>
      <c r="P317" s="30"/>
      <c r="Q317" s="30"/>
      <c r="R317" s="30"/>
      <c r="S317" s="30"/>
      <c r="T317" s="30"/>
      <c r="U317" s="30"/>
      <c r="V317" s="30"/>
      <c r="W317" s="30"/>
      <c r="X317" s="30"/>
    </row>
    <row r="318" customFormat="false" ht="54.75" hidden="false" customHeight="true" outlineLevel="0" collapsed="false">
      <c r="A318" s="33"/>
      <c r="B318" s="34" t="str">
        <f aca="true">IF(C318&lt;&gt;"",TODAY(),"")</f>
        <v/>
      </c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6"/>
      <c r="O318" s="38"/>
      <c r="P318" s="35"/>
      <c r="Q318" s="35"/>
      <c r="R318" s="35"/>
      <c r="S318" s="35"/>
      <c r="T318" s="35"/>
      <c r="U318" s="35"/>
      <c r="V318" s="35"/>
      <c r="W318" s="35"/>
      <c r="X318" s="35"/>
    </row>
    <row r="319" customFormat="false" ht="54.75" hidden="false" customHeight="true" outlineLevel="0" collapsed="false">
      <c r="A319" s="28"/>
      <c r="B319" s="29" t="str">
        <f aca="true">IF(C319&lt;&gt;"",TODAY(),"")</f>
        <v/>
      </c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1"/>
      <c r="O319" s="39"/>
      <c r="P319" s="30"/>
      <c r="Q319" s="30"/>
      <c r="R319" s="30"/>
      <c r="S319" s="30"/>
      <c r="T319" s="30"/>
      <c r="U319" s="30"/>
      <c r="V319" s="30"/>
      <c r="W319" s="30"/>
      <c r="X319" s="30"/>
    </row>
    <row r="320" customFormat="false" ht="54.75" hidden="false" customHeight="true" outlineLevel="0" collapsed="false">
      <c r="A320" s="33"/>
      <c r="B320" s="34" t="str">
        <f aca="true">IF(C320&lt;&gt;"",TODAY(),"")</f>
        <v/>
      </c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6"/>
      <c r="O320" s="38"/>
      <c r="P320" s="35"/>
      <c r="Q320" s="35"/>
      <c r="R320" s="35"/>
      <c r="S320" s="35"/>
      <c r="T320" s="35"/>
      <c r="U320" s="35"/>
      <c r="V320" s="35"/>
      <c r="W320" s="35"/>
      <c r="X320" s="35"/>
    </row>
    <row r="321" customFormat="false" ht="54.75" hidden="false" customHeight="true" outlineLevel="0" collapsed="false">
      <c r="A321" s="28"/>
      <c r="B321" s="29" t="str">
        <f aca="true">IF(C321&lt;&gt;"",TODAY(),"")</f>
        <v/>
      </c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1"/>
      <c r="O321" s="39"/>
      <c r="P321" s="30"/>
      <c r="Q321" s="30"/>
      <c r="R321" s="30"/>
      <c r="S321" s="30"/>
      <c r="T321" s="30"/>
      <c r="U321" s="30"/>
      <c r="V321" s="30"/>
      <c r="W321" s="30"/>
      <c r="X321" s="30"/>
    </row>
    <row r="322" customFormat="false" ht="54.75" hidden="false" customHeight="true" outlineLevel="0" collapsed="false">
      <c r="A322" s="33"/>
      <c r="B322" s="34" t="str">
        <f aca="true">IF(C322&lt;&gt;"",TODAY(),"")</f>
        <v/>
      </c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6"/>
      <c r="O322" s="38"/>
      <c r="P322" s="35"/>
      <c r="Q322" s="35"/>
      <c r="R322" s="35"/>
      <c r="S322" s="35"/>
      <c r="T322" s="35"/>
      <c r="U322" s="35"/>
      <c r="V322" s="35"/>
      <c r="W322" s="35"/>
      <c r="X322" s="35"/>
    </row>
    <row r="323" customFormat="false" ht="54.75" hidden="false" customHeight="true" outlineLevel="0" collapsed="false">
      <c r="A323" s="28"/>
      <c r="B323" s="29" t="str">
        <f aca="true">IF(C323&lt;&gt;"",TODAY(),"")</f>
        <v/>
      </c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1"/>
      <c r="O323" s="39"/>
      <c r="P323" s="30"/>
      <c r="Q323" s="30"/>
      <c r="R323" s="30"/>
      <c r="S323" s="30"/>
      <c r="T323" s="30"/>
      <c r="U323" s="30"/>
      <c r="V323" s="30"/>
      <c r="W323" s="30"/>
      <c r="X323" s="30"/>
    </row>
    <row r="324" customFormat="false" ht="54.75" hidden="false" customHeight="true" outlineLevel="0" collapsed="false">
      <c r="A324" s="33"/>
      <c r="B324" s="34" t="str">
        <f aca="true">IF(C324&lt;&gt;"",TODAY(),"")</f>
        <v/>
      </c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6"/>
      <c r="O324" s="38"/>
      <c r="P324" s="35"/>
      <c r="Q324" s="35"/>
      <c r="R324" s="35"/>
      <c r="S324" s="35"/>
      <c r="T324" s="35"/>
      <c r="U324" s="35"/>
      <c r="V324" s="35"/>
      <c r="W324" s="35"/>
      <c r="X324" s="35"/>
    </row>
    <row r="325" customFormat="false" ht="54.75" hidden="false" customHeight="true" outlineLevel="0" collapsed="false">
      <c r="A325" s="28"/>
      <c r="B325" s="29" t="str">
        <f aca="true">IF(C325&lt;&gt;"",TODAY(),"")</f>
        <v/>
      </c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1"/>
      <c r="O325" s="39"/>
      <c r="P325" s="30"/>
      <c r="Q325" s="30"/>
      <c r="R325" s="30"/>
      <c r="S325" s="30"/>
      <c r="T325" s="30"/>
      <c r="U325" s="30"/>
      <c r="V325" s="30"/>
      <c r="W325" s="30"/>
      <c r="X325" s="30"/>
    </row>
    <row r="326" customFormat="false" ht="54.75" hidden="false" customHeight="true" outlineLevel="0" collapsed="false">
      <c r="A326" s="33"/>
      <c r="B326" s="34" t="str">
        <f aca="true">IF(C326&lt;&gt;"",TODAY(),"")</f>
        <v/>
      </c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6"/>
      <c r="O326" s="38"/>
      <c r="P326" s="35"/>
      <c r="Q326" s="35"/>
      <c r="R326" s="35"/>
      <c r="S326" s="35"/>
      <c r="T326" s="35"/>
      <c r="U326" s="35"/>
      <c r="V326" s="35"/>
      <c r="W326" s="35"/>
      <c r="X326" s="35"/>
    </row>
    <row r="327" customFormat="false" ht="54.75" hidden="false" customHeight="true" outlineLevel="0" collapsed="false">
      <c r="A327" s="28"/>
      <c r="B327" s="29" t="str">
        <f aca="true">IF(C327&lt;&gt;"",TODAY(),"")</f>
        <v/>
      </c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1"/>
      <c r="O327" s="39"/>
      <c r="P327" s="30"/>
      <c r="Q327" s="30"/>
      <c r="R327" s="30"/>
      <c r="S327" s="30"/>
      <c r="T327" s="30"/>
      <c r="U327" s="30"/>
      <c r="V327" s="30"/>
      <c r="W327" s="30"/>
      <c r="X327" s="30"/>
    </row>
    <row r="328" customFormat="false" ht="54.75" hidden="false" customHeight="true" outlineLevel="0" collapsed="false">
      <c r="A328" s="33"/>
      <c r="B328" s="34" t="str">
        <f aca="true">IF(C328&lt;&gt;"",TODAY(),"")</f>
        <v/>
      </c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6"/>
      <c r="O328" s="38"/>
      <c r="P328" s="35"/>
      <c r="Q328" s="35"/>
      <c r="R328" s="35"/>
      <c r="S328" s="35"/>
      <c r="T328" s="35"/>
      <c r="U328" s="35"/>
      <c r="V328" s="35"/>
      <c r="W328" s="35"/>
      <c r="X328" s="35"/>
    </row>
    <row r="329" customFormat="false" ht="54.75" hidden="false" customHeight="true" outlineLevel="0" collapsed="false">
      <c r="A329" s="28"/>
      <c r="B329" s="29" t="str">
        <f aca="true">IF(C329&lt;&gt;"",TODAY(),"")</f>
        <v/>
      </c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1"/>
      <c r="O329" s="39"/>
      <c r="P329" s="30"/>
      <c r="Q329" s="30"/>
      <c r="R329" s="30"/>
      <c r="S329" s="30"/>
      <c r="T329" s="30"/>
      <c r="U329" s="30"/>
      <c r="V329" s="30"/>
      <c r="W329" s="30"/>
      <c r="X329" s="30"/>
    </row>
    <row r="330" customFormat="false" ht="54.75" hidden="false" customHeight="true" outlineLevel="0" collapsed="false">
      <c r="A330" s="33"/>
      <c r="B330" s="34" t="str">
        <f aca="true">IF(C330&lt;&gt;"",TODAY(),"")</f>
        <v/>
      </c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6"/>
      <c r="O330" s="38"/>
      <c r="P330" s="35"/>
      <c r="Q330" s="35"/>
      <c r="R330" s="35"/>
      <c r="S330" s="35"/>
      <c r="T330" s="35"/>
      <c r="U330" s="35"/>
      <c r="V330" s="35"/>
      <c r="W330" s="35"/>
      <c r="X330" s="35"/>
    </row>
    <row r="331" customFormat="false" ht="54.75" hidden="false" customHeight="true" outlineLevel="0" collapsed="false">
      <c r="A331" s="28"/>
      <c r="B331" s="29" t="str">
        <f aca="true">IF(C331&lt;&gt;"",TODAY(),"")</f>
        <v/>
      </c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1"/>
      <c r="O331" s="39"/>
      <c r="P331" s="30"/>
      <c r="Q331" s="30"/>
      <c r="R331" s="30"/>
      <c r="S331" s="30"/>
      <c r="T331" s="30"/>
      <c r="U331" s="30"/>
      <c r="V331" s="30"/>
      <c r="W331" s="30"/>
      <c r="X331" s="30"/>
    </row>
    <row r="332" customFormat="false" ht="54.75" hidden="false" customHeight="true" outlineLevel="0" collapsed="false">
      <c r="A332" s="33"/>
      <c r="B332" s="34" t="str">
        <f aca="true">IF(C332&lt;&gt;"",TODAY(),"")</f>
        <v/>
      </c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6"/>
      <c r="O332" s="38"/>
      <c r="P332" s="35"/>
      <c r="Q332" s="35"/>
      <c r="R332" s="35"/>
      <c r="S332" s="35"/>
      <c r="T332" s="35"/>
      <c r="U332" s="35"/>
      <c r="V332" s="35"/>
      <c r="W332" s="35"/>
      <c r="X332" s="35"/>
    </row>
    <row r="333" customFormat="false" ht="54.75" hidden="false" customHeight="true" outlineLevel="0" collapsed="false">
      <c r="A333" s="28"/>
      <c r="B333" s="29" t="str">
        <f aca="true">IF(C333&lt;&gt;"",TODAY(),"")</f>
        <v/>
      </c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1"/>
      <c r="O333" s="39"/>
      <c r="P333" s="30"/>
      <c r="Q333" s="30"/>
      <c r="R333" s="30"/>
      <c r="S333" s="30"/>
      <c r="T333" s="30"/>
      <c r="U333" s="30"/>
      <c r="V333" s="30"/>
      <c r="W333" s="30"/>
      <c r="X333" s="30"/>
    </row>
    <row r="334" customFormat="false" ht="54.75" hidden="false" customHeight="true" outlineLevel="0" collapsed="false">
      <c r="A334" s="33"/>
      <c r="B334" s="34" t="str">
        <f aca="true">IF(C334&lt;&gt;"",TODAY(),"")</f>
        <v/>
      </c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6"/>
      <c r="O334" s="38"/>
      <c r="P334" s="35"/>
      <c r="Q334" s="35"/>
      <c r="R334" s="35"/>
      <c r="S334" s="35"/>
      <c r="T334" s="35"/>
      <c r="U334" s="35"/>
      <c r="V334" s="35"/>
      <c r="W334" s="35"/>
      <c r="X334" s="35"/>
    </row>
    <row r="335" customFormat="false" ht="54.75" hidden="false" customHeight="true" outlineLevel="0" collapsed="false">
      <c r="A335" s="28"/>
      <c r="B335" s="29" t="str">
        <f aca="true">IF(C335&lt;&gt;"",TODAY(),"")</f>
        <v/>
      </c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1"/>
      <c r="O335" s="39"/>
      <c r="P335" s="30"/>
      <c r="Q335" s="30"/>
      <c r="R335" s="30"/>
      <c r="S335" s="30"/>
      <c r="T335" s="30"/>
      <c r="U335" s="30"/>
      <c r="V335" s="30"/>
      <c r="W335" s="30"/>
      <c r="X335" s="30"/>
    </row>
    <row r="336" customFormat="false" ht="54.75" hidden="false" customHeight="true" outlineLevel="0" collapsed="false">
      <c r="A336" s="33"/>
      <c r="B336" s="34" t="str">
        <f aca="true">IF(C336&lt;&gt;"",TODAY(),"")</f>
        <v/>
      </c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6"/>
      <c r="O336" s="38"/>
      <c r="P336" s="35"/>
      <c r="Q336" s="35"/>
      <c r="R336" s="35"/>
      <c r="S336" s="35"/>
      <c r="T336" s="35"/>
      <c r="U336" s="35"/>
      <c r="V336" s="35"/>
      <c r="W336" s="35"/>
      <c r="X336" s="35"/>
    </row>
    <row r="337" customFormat="false" ht="54.75" hidden="false" customHeight="true" outlineLevel="0" collapsed="false">
      <c r="A337" s="28"/>
      <c r="B337" s="29" t="str">
        <f aca="true">IF(C337&lt;&gt;"",TODAY(),"")</f>
        <v/>
      </c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1"/>
      <c r="O337" s="39"/>
      <c r="P337" s="30"/>
      <c r="Q337" s="30"/>
      <c r="R337" s="30"/>
      <c r="S337" s="30"/>
      <c r="T337" s="30"/>
      <c r="U337" s="30"/>
      <c r="V337" s="30"/>
      <c r="W337" s="30"/>
      <c r="X337" s="30"/>
    </row>
    <row r="338" customFormat="false" ht="54.75" hidden="false" customHeight="true" outlineLevel="0" collapsed="false">
      <c r="A338" s="33"/>
      <c r="B338" s="34" t="str">
        <f aca="true">IF(C338&lt;&gt;"",TODAY(),"")</f>
        <v/>
      </c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6"/>
      <c r="O338" s="38"/>
      <c r="P338" s="35"/>
      <c r="Q338" s="35"/>
      <c r="R338" s="35"/>
      <c r="S338" s="35"/>
      <c r="T338" s="35"/>
      <c r="U338" s="35"/>
      <c r="V338" s="35"/>
      <c r="W338" s="35"/>
      <c r="X338" s="35"/>
    </row>
    <row r="339" customFormat="false" ht="54.75" hidden="false" customHeight="true" outlineLevel="0" collapsed="false">
      <c r="A339" s="28"/>
      <c r="B339" s="29" t="str">
        <f aca="true">IF(C339&lt;&gt;"",TODAY(),"")</f>
        <v/>
      </c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1"/>
      <c r="O339" s="39"/>
      <c r="P339" s="30"/>
      <c r="Q339" s="30"/>
      <c r="R339" s="30"/>
      <c r="S339" s="30"/>
      <c r="T339" s="30"/>
      <c r="U339" s="30"/>
      <c r="V339" s="30"/>
      <c r="W339" s="30"/>
      <c r="X339" s="30"/>
    </row>
    <row r="340" customFormat="false" ht="54.75" hidden="false" customHeight="true" outlineLevel="0" collapsed="false">
      <c r="A340" s="33"/>
      <c r="B340" s="34" t="str">
        <f aca="true">IF(C340&lt;&gt;"",TODAY(),"")</f>
        <v/>
      </c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6"/>
      <c r="O340" s="38"/>
      <c r="P340" s="35"/>
      <c r="Q340" s="35"/>
      <c r="R340" s="35"/>
      <c r="S340" s="35"/>
      <c r="T340" s="35"/>
      <c r="U340" s="35"/>
      <c r="V340" s="35"/>
      <c r="W340" s="35"/>
      <c r="X340" s="35"/>
    </row>
    <row r="341" customFormat="false" ht="54.75" hidden="false" customHeight="true" outlineLevel="0" collapsed="false">
      <c r="A341" s="28"/>
      <c r="B341" s="29" t="str">
        <f aca="true">IF(C341&lt;&gt;"",TODAY(),"")</f>
        <v/>
      </c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1"/>
      <c r="O341" s="39"/>
      <c r="P341" s="30"/>
      <c r="Q341" s="30"/>
      <c r="R341" s="30"/>
      <c r="S341" s="30"/>
      <c r="T341" s="30"/>
      <c r="U341" s="30"/>
      <c r="V341" s="30"/>
      <c r="W341" s="30"/>
      <c r="X341" s="30"/>
    </row>
    <row r="342" customFormat="false" ht="54.75" hidden="false" customHeight="true" outlineLevel="0" collapsed="false">
      <c r="A342" s="33"/>
      <c r="B342" s="34" t="str">
        <f aca="true">IF(C342&lt;&gt;"",TODAY(),"")</f>
        <v/>
      </c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6"/>
      <c r="O342" s="38"/>
      <c r="P342" s="35"/>
      <c r="Q342" s="35"/>
      <c r="R342" s="35"/>
      <c r="S342" s="35"/>
      <c r="T342" s="35"/>
      <c r="U342" s="35"/>
      <c r="V342" s="35"/>
      <c r="W342" s="35"/>
      <c r="X342" s="35"/>
    </row>
    <row r="343" customFormat="false" ht="54.75" hidden="false" customHeight="true" outlineLevel="0" collapsed="false">
      <c r="A343" s="28"/>
      <c r="B343" s="29" t="str">
        <f aca="true">IF(C343&lt;&gt;"",TODAY(),"")</f>
        <v/>
      </c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1"/>
      <c r="O343" s="39"/>
      <c r="P343" s="30"/>
      <c r="Q343" s="30"/>
      <c r="R343" s="30"/>
      <c r="S343" s="30"/>
      <c r="T343" s="30"/>
      <c r="U343" s="30"/>
      <c r="V343" s="30"/>
      <c r="W343" s="30"/>
      <c r="X343" s="30"/>
    </row>
    <row r="344" customFormat="false" ht="54.75" hidden="false" customHeight="true" outlineLevel="0" collapsed="false">
      <c r="A344" s="33"/>
      <c r="B344" s="34" t="str">
        <f aca="true">IF(C344&lt;&gt;"",TODAY(),"")</f>
        <v/>
      </c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6"/>
      <c r="O344" s="38"/>
      <c r="P344" s="35"/>
      <c r="Q344" s="35"/>
      <c r="R344" s="35"/>
      <c r="S344" s="35"/>
      <c r="T344" s="35"/>
      <c r="U344" s="35"/>
      <c r="V344" s="35"/>
      <c r="W344" s="35"/>
      <c r="X344" s="35"/>
    </row>
    <row r="345" customFormat="false" ht="54.75" hidden="false" customHeight="true" outlineLevel="0" collapsed="false">
      <c r="A345" s="28"/>
      <c r="B345" s="29" t="str">
        <f aca="true">IF(C345&lt;&gt;"",TODAY(),"")</f>
        <v/>
      </c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1"/>
      <c r="O345" s="39"/>
      <c r="P345" s="30"/>
      <c r="Q345" s="30"/>
      <c r="R345" s="30"/>
      <c r="S345" s="30"/>
      <c r="T345" s="30"/>
      <c r="U345" s="30"/>
      <c r="V345" s="30"/>
      <c r="W345" s="30"/>
      <c r="X345" s="30"/>
    </row>
    <row r="346" customFormat="false" ht="54.75" hidden="false" customHeight="true" outlineLevel="0" collapsed="false">
      <c r="A346" s="33"/>
      <c r="B346" s="34" t="str">
        <f aca="true">IF(C346&lt;&gt;"",TODAY(),"")</f>
        <v/>
      </c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6"/>
      <c r="O346" s="38"/>
      <c r="P346" s="35"/>
      <c r="Q346" s="35"/>
      <c r="R346" s="35"/>
      <c r="S346" s="35"/>
      <c r="T346" s="35"/>
      <c r="U346" s="35"/>
      <c r="V346" s="35"/>
      <c r="W346" s="35"/>
      <c r="X346" s="35"/>
    </row>
    <row r="347" customFormat="false" ht="54.75" hidden="false" customHeight="true" outlineLevel="0" collapsed="false">
      <c r="A347" s="28"/>
      <c r="B347" s="29" t="str">
        <f aca="true">IF(C347&lt;&gt;"",TODAY(),"")</f>
        <v/>
      </c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1"/>
      <c r="O347" s="39"/>
      <c r="P347" s="30"/>
      <c r="Q347" s="30"/>
      <c r="R347" s="30"/>
      <c r="S347" s="30"/>
      <c r="T347" s="30"/>
      <c r="U347" s="30"/>
      <c r="V347" s="30"/>
      <c r="W347" s="30"/>
      <c r="X347" s="30"/>
    </row>
    <row r="348" customFormat="false" ht="54.75" hidden="false" customHeight="true" outlineLevel="0" collapsed="false">
      <c r="A348" s="33"/>
      <c r="B348" s="34" t="str">
        <f aca="true">IF(C348&lt;&gt;"",TODAY(),"")</f>
        <v/>
      </c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6"/>
      <c r="O348" s="38"/>
      <c r="P348" s="35"/>
      <c r="Q348" s="35"/>
      <c r="R348" s="35"/>
      <c r="S348" s="35"/>
      <c r="T348" s="35"/>
      <c r="U348" s="35"/>
      <c r="V348" s="35"/>
      <c r="W348" s="35"/>
      <c r="X348" s="35"/>
    </row>
    <row r="349" customFormat="false" ht="54.75" hidden="false" customHeight="true" outlineLevel="0" collapsed="false">
      <c r="A349" s="28"/>
      <c r="B349" s="29" t="str">
        <f aca="true">IF(C349&lt;&gt;"",TODAY(),"")</f>
        <v/>
      </c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1"/>
      <c r="O349" s="39"/>
      <c r="P349" s="30"/>
      <c r="Q349" s="30"/>
      <c r="R349" s="30"/>
      <c r="S349" s="30"/>
      <c r="T349" s="30"/>
      <c r="U349" s="30"/>
      <c r="V349" s="30"/>
      <c r="W349" s="30"/>
      <c r="X349" s="30"/>
    </row>
    <row r="350" customFormat="false" ht="54.75" hidden="false" customHeight="true" outlineLevel="0" collapsed="false">
      <c r="A350" s="33"/>
      <c r="B350" s="34" t="str">
        <f aca="true">IF(C350&lt;&gt;"",TODAY(),"")</f>
        <v/>
      </c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6"/>
      <c r="O350" s="38"/>
      <c r="P350" s="35"/>
      <c r="Q350" s="35"/>
      <c r="R350" s="35"/>
      <c r="S350" s="35"/>
      <c r="T350" s="35"/>
      <c r="U350" s="35"/>
      <c r="V350" s="35"/>
      <c r="W350" s="35"/>
      <c r="X350" s="35"/>
    </row>
    <row r="351" customFormat="false" ht="54.75" hidden="false" customHeight="true" outlineLevel="0" collapsed="false">
      <c r="A351" s="28"/>
      <c r="B351" s="29" t="str">
        <f aca="true">IF(C351&lt;&gt;"",TODAY(),"")</f>
        <v/>
      </c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1"/>
      <c r="O351" s="39"/>
      <c r="P351" s="30"/>
      <c r="Q351" s="30"/>
      <c r="R351" s="30"/>
      <c r="S351" s="30"/>
      <c r="T351" s="30"/>
      <c r="U351" s="30"/>
      <c r="V351" s="30"/>
      <c r="W351" s="30"/>
      <c r="X351" s="30"/>
    </row>
    <row r="352" customFormat="false" ht="54.75" hidden="false" customHeight="true" outlineLevel="0" collapsed="false">
      <c r="A352" s="33"/>
      <c r="B352" s="34" t="str">
        <f aca="true">IF(C352&lt;&gt;"",TODAY(),"")</f>
        <v/>
      </c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6"/>
      <c r="O352" s="38"/>
      <c r="P352" s="35"/>
      <c r="Q352" s="35"/>
      <c r="R352" s="35"/>
      <c r="S352" s="35"/>
      <c r="T352" s="35"/>
      <c r="U352" s="35"/>
      <c r="V352" s="35"/>
      <c r="W352" s="35"/>
      <c r="X352" s="35"/>
    </row>
    <row r="353" customFormat="false" ht="54.75" hidden="false" customHeight="true" outlineLevel="0" collapsed="false">
      <c r="A353" s="28"/>
      <c r="B353" s="29" t="str">
        <f aca="true">IF(C353&lt;&gt;"",TODAY(),"")</f>
        <v/>
      </c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1"/>
      <c r="O353" s="39"/>
      <c r="P353" s="30"/>
      <c r="Q353" s="30"/>
      <c r="R353" s="30"/>
      <c r="S353" s="30"/>
      <c r="T353" s="30"/>
      <c r="U353" s="30"/>
      <c r="V353" s="30"/>
      <c r="W353" s="30"/>
      <c r="X353" s="30"/>
    </row>
    <row r="354" customFormat="false" ht="54.75" hidden="false" customHeight="true" outlineLevel="0" collapsed="false">
      <c r="A354" s="33"/>
      <c r="B354" s="34" t="str">
        <f aca="true">IF(C354&lt;&gt;"",TODAY(),"")</f>
        <v/>
      </c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6"/>
      <c r="O354" s="38"/>
      <c r="P354" s="35"/>
      <c r="Q354" s="35"/>
      <c r="R354" s="35"/>
      <c r="S354" s="35"/>
      <c r="T354" s="35"/>
      <c r="U354" s="35"/>
      <c r="V354" s="35"/>
      <c r="W354" s="35"/>
      <c r="X354" s="35"/>
    </row>
    <row r="355" customFormat="false" ht="54.75" hidden="false" customHeight="true" outlineLevel="0" collapsed="false">
      <c r="A355" s="28"/>
      <c r="B355" s="29" t="str">
        <f aca="true">IF(C355&lt;&gt;"",TODAY(),"")</f>
        <v/>
      </c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1"/>
      <c r="O355" s="39"/>
      <c r="P355" s="30"/>
      <c r="Q355" s="30"/>
      <c r="R355" s="30"/>
      <c r="S355" s="30"/>
      <c r="T355" s="30"/>
      <c r="U355" s="30"/>
      <c r="V355" s="30"/>
      <c r="W355" s="30"/>
      <c r="X355" s="30"/>
    </row>
    <row r="356" customFormat="false" ht="54.75" hidden="false" customHeight="true" outlineLevel="0" collapsed="false">
      <c r="A356" s="33"/>
      <c r="B356" s="34" t="str">
        <f aca="true">IF(C356&lt;&gt;"",TODAY(),"")</f>
        <v/>
      </c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6"/>
      <c r="O356" s="38"/>
      <c r="P356" s="35"/>
      <c r="Q356" s="35"/>
      <c r="R356" s="35"/>
      <c r="S356" s="35"/>
      <c r="T356" s="35"/>
      <c r="U356" s="35"/>
      <c r="V356" s="35"/>
      <c r="W356" s="35"/>
      <c r="X356" s="35"/>
    </row>
    <row r="357" customFormat="false" ht="54.75" hidden="false" customHeight="true" outlineLevel="0" collapsed="false">
      <c r="A357" s="28"/>
      <c r="B357" s="29" t="str">
        <f aca="true">IF(C357&lt;&gt;"",TODAY(),"")</f>
        <v/>
      </c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1"/>
      <c r="O357" s="39"/>
      <c r="P357" s="30"/>
      <c r="Q357" s="30"/>
      <c r="R357" s="30"/>
      <c r="S357" s="30"/>
      <c r="T357" s="30"/>
      <c r="U357" s="30"/>
      <c r="V357" s="30"/>
      <c r="W357" s="30"/>
      <c r="X357" s="30"/>
    </row>
    <row r="358" customFormat="false" ht="54.75" hidden="false" customHeight="true" outlineLevel="0" collapsed="false">
      <c r="A358" s="33"/>
      <c r="B358" s="34" t="str">
        <f aca="true">IF(C358&lt;&gt;"",TODAY(),"")</f>
        <v/>
      </c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6"/>
      <c r="O358" s="38"/>
      <c r="P358" s="35"/>
      <c r="Q358" s="35"/>
      <c r="R358" s="35"/>
      <c r="S358" s="35"/>
      <c r="T358" s="35"/>
      <c r="U358" s="35"/>
      <c r="V358" s="35"/>
      <c r="W358" s="35"/>
      <c r="X358" s="35"/>
    </row>
    <row r="359" customFormat="false" ht="54.75" hidden="false" customHeight="true" outlineLevel="0" collapsed="false">
      <c r="A359" s="28"/>
      <c r="B359" s="29" t="str">
        <f aca="true">IF(C359&lt;&gt;"",TODAY(),"")</f>
        <v/>
      </c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1"/>
      <c r="O359" s="39"/>
      <c r="P359" s="30"/>
      <c r="Q359" s="30"/>
      <c r="R359" s="30"/>
      <c r="S359" s="30"/>
      <c r="T359" s="30"/>
      <c r="U359" s="30"/>
      <c r="V359" s="30"/>
      <c r="W359" s="30"/>
      <c r="X359" s="30"/>
    </row>
    <row r="360" customFormat="false" ht="54.75" hidden="false" customHeight="true" outlineLevel="0" collapsed="false">
      <c r="A360" s="33"/>
      <c r="B360" s="34" t="str">
        <f aca="true">IF(C360&lt;&gt;"",TODAY(),"")</f>
        <v/>
      </c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6"/>
      <c r="O360" s="38"/>
      <c r="P360" s="35"/>
      <c r="Q360" s="35"/>
      <c r="R360" s="35"/>
      <c r="S360" s="35"/>
      <c r="T360" s="35"/>
      <c r="U360" s="35"/>
      <c r="V360" s="35"/>
      <c r="W360" s="35"/>
      <c r="X360" s="35"/>
    </row>
    <row r="361" customFormat="false" ht="54.75" hidden="false" customHeight="true" outlineLevel="0" collapsed="false">
      <c r="A361" s="28"/>
      <c r="B361" s="29" t="str">
        <f aca="true">IF(C361&lt;&gt;"",TODAY(),"")</f>
        <v/>
      </c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1"/>
      <c r="O361" s="39"/>
      <c r="P361" s="30"/>
      <c r="Q361" s="30"/>
      <c r="R361" s="30"/>
      <c r="S361" s="30"/>
      <c r="T361" s="30"/>
      <c r="U361" s="30"/>
      <c r="V361" s="30"/>
      <c r="W361" s="30"/>
      <c r="X361" s="30"/>
    </row>
    <row r="362" customFormat="false" ht="54.75" hidden="false" customHeight="true" outlineLevel="0" collapsed="false">
      <c r="A362" s="33"/>
      <c r="B362" s="34" t="str">
        <f aca="true">IF(C362&lt;&gt;"",TODAY(),"")</f>
        <v/>
      </c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6"/>
      <c r="O362" s="38"/>
      <c r="P362" s="35"/>
      <c r="Q362" s="35"/>
      <c r="R362" s="35"/>
      <c r="S362" s="35"/>
      <c r="T362" s="35"/>
      <c r="U362" s="35"/>
      <c r="V362" s="35"/>
      <c r="W362" s="35"/>
      <c r="X362" s="35"/>
    </row>
    <row r="363" customFormat="false" ht="54.75" hidden="false" customHeight="true" outlineLevel="0" collapsed="false">
      <c r="A363" s="28"/>
      <c r="B363" s="29" t="str">
        <f aca="true">IF(C363&lt;&gt;"",TODAY(),"")</f>
        <v/>
      </c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1"/>
      <c r="O363" s="39"/>
      <c r="P363" s="30"/>
      <c r="Q363" s="30"/>
      <c r="R363" s="30"/>
      <c r="S363" s="30"/>
      <c r="T363" s="30"/>
      <c r="U363" s="30"/>
      <c r="V363" s="30"/>
      <c r="W363" s="30"/>
      <c r="X363" s="30"/>
    </row>
    <row r="364" customFormat="false" ht="54.75" hidden="false" customHeight="true" outlineLevel="0" collapsed="false">
      <c r="A364" s="33"/>
      <c r="B364" s="34" t="str">
        <f aca="true">IF(C364&lt;&gt;"",TODAY(),"")</f>
        <v/>
      </c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6"/>
      <c r="O364" s="38"/>
      <c r="P364" s="35"/>
      <c r="Q364" s="35"/>
      <c r="R364" s="35"/>
      <c r="S364" s="35"/>
      <c r="T364" s="35"/>
      <c r="U364" s="35"/>
      <c r="V364" s="35"/>
      <c r="W364" s="35"/>
      <c r="X364" s="35"/>
    </row>
    <row r="365" customFormat="false" ht="54.75" hidden="false" customHeight="true" outlineLevel="0" collapsed="false">
      <c r="A365" s="28"/>
      <c r="B365" s="29" t="str">
        <f aca="true">IF(C365&lt;&gt;"",TODAY(),"")</f>
        <v/>
      </c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1"/>
      <c r="O365" s="39"/>
      <c r="P365" s="30"/>
      <c r="Q365" s="30"/>
      <c r="R365" s="30"/>
      <c r="S365" s="30"/>
      <c r="T365" s="30"/>
      <c r="U365" s="30"/>
      <c r="V365" s="30"/>
      <c r="W365" s="30"/>
      <c r="X365" s="30"/>
    </row>
    <row r="366" customFormat="false" ht="54.75" hidden="false" customHeight="true" outlineLevel="0" collapsed="false">
      <c r="A366" s="33"/>
      <c r="B366" s="34" t="str">
        <f aca="true">IF(C366&lt;&gt;"",TODAY(),"")</f>
        <v/>
      </c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6"/>
      <c r="O366" s="38"/>
      <c r="P366" s="35"/>
      <c r="Q366" s="35"/>
      <c r="R366" s="35"/>
      <c r="S366" s="35"/>
      <c r="T366" s="35"/>
      <c r="U366" s="35"/>
      <c r="V366" s="35"/>
      <c r="W366" s="35"/>
      <c r="X366" s="35"/>
    </row>
    <row r="367" customFormat="false" ht="54.75" hidden="false" customHeight="true" outlineLevel="0" collapsed="false">
      <c r="A367" s="28"/>
      <c r="B367" s="29" t="str">
        <f aca="true">IF(C367&lt;&gt;"",TODAY(),"")</f>
        <v/>
      </c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1"/>
      <c r="O367" s="39"/>
      <c r="P367" s="30"/>
      <c r="Q367" s="30"/>
      <c r="R367" s="30"/>
      <c r="S367" s="30"/>
      <c r="T367" s="30"/>
      <c r="U367" s="30"/>
      <c r="V367" s="30"/>
      <c r="W367" s="30"/>
      <c r="X367" s="30"/>
    </row>
    <row r="368" customFormat="false" ht="54.75" hidden="false" customHeight="true" outlineLevel="0" collapsed="false">
      <c r="A368" s="33"/>
      <c r="B368" s="34" t="str">
        <f aca="true">IF(C368&lt;&gt;"",TODAY(),"")</f>
        <v/>
      </c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6"/>
      <c r="O368" s="38"/>
      <c r="P368" s="35"/>
      <c r="Q368" s="35"/>
      <c r="R368" s="35"/>
      <c r="S368" s="35"/>
      <c r="T368" s="35"/>
      <c r="U368" s="35"/>
      <c r="V368" s="35"/>
      <c r="W368" s="35"/>
      <c r="X368" s="35"/>
    </row>
    <row r="369" customFormat="false" ht="54.75" hidden="false" customHeight="true" outlineLevel="0" collapsed="false">
      <c r="A369" s="28"/>
      <c r="B369" s="29" t="str">
        <f aca="true">IF(C369&lt;&gt;"",TODAY(),"")</f>
        <v/>
      </c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1"/>
      <c r="O369" s="39"/>
      <c r="P369" s="30"/>
      <c r="Q369" s="30"/>
      <c r="R369" s="30"/>
      <c r="S369" s="30"/>
      <c r="T369" s="30"/>
      <c r="U369" s="30"/>
      <c r="V369" s="30"/>
      <c r="W369" s="30"/>
      <c r="X369" s="30"/>
    </row>
    <row r="370" customFormat="false" ht="54.75" hidden="false" customHeight="true" outlineLevel="0" collapsed="false">
      <c r="A370" s="33"/>
      <c r="B370" s="34" t="str">
        <f aca="true">IF(C370&lt;&gt;"",TODAY(),"")</f>
        <v/>
      </c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6"/>
      <c r="O370" s="38"/>
      <c r="P370" s="35"/>
      <c r="Q370" s="35"/>
      <c r="R370" s="35"/>
      <c r="S370" s="35"/>
      <c r="T370" s="35"/>
      <c r="U370" s="35"/>
      <c r="V370" s="35"/>
      <c r="W370" s="35"/>
      <c r="X370" s="35"/>
    </row>
    <row r="371" customFormat="false" ht="54.75" hidden="false" customHeight="true" outlineLevel="0" collapsed="false">
      <c r="A371" s="28"/>
      <c r="B371" s="29" t="str">
        <f aca="true">IF(C371&lt;&gt;"",TODAY(),"")</f>
        <v/>
      </c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1"/>
      <c r="O371" s="39"/>
      <c r="P371" s="30"/>
      <c r="Q371" s="30"/>
      <c r="R371" s="30"/>
      <c r="S371" s="30"/>
      <c r="T371" s="30"/>
      <c r="U371" s="30"/>
      <c r="V371" s="30"/>
      <c r="W371" s="30"/>
      <c r="X371" s="30"/>
    </row>
    <row r="372" customFormat="false" ht="54.75" hidden="false" customHeight="true" outlineLevel="0" collapsed="false">
      <c r="A372" s="33"/>
      <c r="B372" s="34" t="str">
        <f aca="true">IF(C372&lt;&gt;"",TODAY(),"")</f>
        <v/>
      </c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6"/>
      <c r="O372" s="38"/>
      <c r="P372" s="35"/>
      <c r="Q372" s="35"/>
      <c r="R372" s="35"/>
      <c r="S372" s="35"/>
      <c r="T372" s="35"/>
      <c r="U372" s="35"/>
      <c r="V372" s="35"/>
      <c r="W372" s="35"/>
      <c r="X372" s="35"/>
    </row>
    <row r="373" customFormat="false" ht="54.75" hidden="false" customHeight="true" outlineLevel="0" collapsed="false">
      <c r="A373" s="28"/>
      <c r="B373" s="29" t="str">
        <f aca="true">IF(C373&lt;&gt;"",TODAY(),"")</f>
        <v/>
      </c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1"/>
      <c r="O373" s="39"/>
      <c r="P373" s="30"/>
      <c r="Q373" s="30"/>
      <c r="R373" s="30"/>
      <c r="S373" s="30"/>
      <c r="T373" s="30"/>
      <c r="U373" s="30"/>
      <c r="V373" s="30"/>
      <c r="W373" s="30"/>
      <c r="X373" s="30"/>
    </row>
    <row r="374" customFormat="false" ht="54.75" hidden="false" customHeight="true" outlineLevel="0" collapsed="false">
      <c r="A374" s="33"/>
      <c r="B374" s="34" t="str">
        <f aca="true">IF(C374&lt;&gt;"",TODAY(),"")</f>
        <v/>
      </c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6"/>
      <c r="O374" s="38"/>
      <c r="P374" s="35"/>
      <c r="Q374" s="35"/>
      <c r="R374" s="35"/>
      <c r="S374" s="35"/>
      <c r="T374" s="35"/>
      <c r="U374" s="35"/>
      <c r="V374" s="35"/>
      <c r="W374" s="35"/>
      <c r="X374" s="35"/>
    </row>
    <row r="375" customFormat="false" ht="54.75" hidden="false" customHeight="true" outlineLevel="0" collapsed="false">
      <c r="A375" s="28"/>
      <c r="B375" s="29" t="str">
        <f aca="true">IF(C375&lt;&gt;"",TODAY(),"")</f>
        <v/>
      </c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1"/>
      <c r="O375" s="39"/>
      <c r="P375" s="30"/>
      <c r="Q375" s="30"/>
      <c r="R375" s="30"/>
      <c r="S375" s="30"/>
      <c r="T375" s="30"/>
      <c r="U375" s="30"/>
      <c r="V375" s="30"/>
      <c r="W375" s="30"/>
      <c r="X375" s="30"/>
    </row>
    <row r="376" customFormat="false" ht="54.75" hidden="false" customHeight="true" outlineLevel="0" collapsed="false">
      <c r="A376" s="33"/>
      <c r="B376" s="34" t="str">
        <f aca="true">IF(C376&lt;&gt;"",TODAY(),"")</f>
        <v/>
      </c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6"/>
      <c r="O376" s="38"/>
      <c r="P376" s="35"/>
      <c r="Q376" s="35"/>
      <c r="R376" s="35"/>
      <c r="S376" s="35"/>
      <c r="T376" s="35"/>
      <c r="U376" s="35"/>
      <c r="V376" s="35"/>
      <c r="W376" s="35"/>
      <c r="X376" s="35"/>
    </row>
    <row r="377" customFormat="false" ht="54.75" hidden="false" customHeight="true" outlineLevel="0" collapsed="false">
      <c r="A377" s="28"/>
      <c r="B377" s="29" t="str">
        <f aca="true">IF(C377&lt;&gt;"",TODAY(),"")</f>
        <v/>
      </c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1"/>
      <c r="O377" s="39"/>
      <c r="P377" s="30"/>
      <c r="Q377" s="30"/>
      <c r="R377" s="30"/>
      <c r="S377" s="30"/>
      <c r="T377" s="30"/>
      <c r="U377" s="30"/>
      <c r="V377" s="30"/>
      <c r="W377" s="30"/>
      <c r="X377" s="30"/>
    </row>
    <row r="378" customFormat="false" ht="54.75" hidden="false" customHeight="true" outlineLevel="0" collapsed="false">
      <c r="A378" s="33"/>
      <c r="B378" s="34" t="str">
        <f aca="true">IF(C378&lt;&gt;"",TODAY(),"")</f>
        <v/>
      </c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6"/>
      <c r="O378" s="38"/>
      <c r="P378" s="35"/>
      <c r="Q378" s="35"/>
      <c r="R378" s="35"/>
      <c r="S378" s="35"/>
      <c r="T378" s="35"/>
      <c r="U378" s="35"/>
      <c r="V378" s="35"/>
      <c r="W378" s="35"/>
      <c r="X378" s="35"/>
    </row>
    <row r="379" customFormat="false" ht="54.75" hidden="false" customHeight="true" outlineLevel="0" collapsed="false">
      <c r="A379" s="28"/>
      <c r="B379" s="29" t="str">
        <f aca="true">IF(C379&lt;&gt;"",TODAY(),"")</f>
        <v/>
      </c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1"/>
      <c r="O379" s="39"/>
      <c r="P379" s="30"/>
      <c r="Q379" s="30"/>
      <c r="R379" s="30"/>
      <c r="S379" s="30"/>
      <c r="T379" s="30"/>
      <c r="U379" s="30"/>
      <c r="V379" s="30"/>
      <c r="W379" s="30"/>
      <c r="X379" s="30"/>
    </row>
    <row r="380" customFormat="false" ht="54.75" hidden="false" customHeight="true" outlineLevel="0" collapsed="false">
      <c r="A380" s="33"/>
      <c r="B380" s="34" t="str">
        <f aca="true">IF(C380&lt;&gt;"",TODAY(),"")</f>
        <v/>
      </c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6"/>
      <c r="O380" s="38"/>
      <c r="P380" s="35"/>
      <c r="Q380" s="35"/>
      <c r="R380" s="35"/>
      <c r="S380" s="35"/>
      <c r="T380" s="35"/>
      <c r="U380" s="35"/>
      <c r="V380" s="35"/>
      <c r="W380" s="35"/>
      <c r="X380" s="35"/>
    </row>
    <row r="381" customFormat="false" ht="54.75" hidden="false" customHeight="true" outlineLevel="0" collapsed="false">
      <c r="A381" s="28"/>
      <c r="B381" s="29" t="str">
        <f aca="true">IF(C381&lt;&gt;"",TODAY(),"")</f>
        <v/>
      </c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1"/>
      <c r="O381" s="39"/>
      <c r="P381" s="30"/>
      <c r="Q381" s="30"/>
      <c r="R381" s="30"/>
      <c r="S381" s="30"/>
      <c r="T381" s="30"/>
      <c r="U381" s="30"/>
      <c r="V381" s="30"/>
      <c r="W381" s="30"/>
      <c r="X381" s="30"/>
    </row>
    <row r="382" customFormat="false" ht="54.75" hidden="false" customHeight="true" outlineLevel="0" collapsed="false">
      <c r="A382" s="33"/>
      <c r="B382" s="34" t="str">
        <f aca="true">IF(C382&lt;&gt;"",TODAY(),"")</f>
        <v/>
      </c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6"/>
      <c r="O382" s="38"/>
      <c r="P382" s="35"/>
      <c r="Q382" s="35"/>
      <c r="R382" s="35"/>
      <c r="S382" s="35"/>
      <c r="T382" s="35"/>
      <c r="U382" s="35"/>
      <c r="V382" s="35"/>
      <c r="W382" s="35"/>
      <c r="X382" s="35"/>
    </row>
    <row r="383" customFormat="false" ht="54.75" hidden="false" customHeight="true" outlineLevel="0" collapsed="false">
      <c r="A383" s="28"/>
      <c r="B383" s="29" t="str">
        <f aca="true">IF(C383&lt;&gt;"",TODAY(),"")</f>
        <v/>
      </c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1"/>
      <c r="O383" s="39"/>
      <c r="P383" s="30"/>
      <c r="Q383" s="30"/>
      <c r="R383" s="30"/>
      <c r="S383" s="30"/>
      <c r="T383" s="30"/>
      <c r="U383" s="30"/>
      <c r="V383" s="30"/>
      <c r="W383" s="30"/>
      <c r="X383" s="30"/>
    </row>
    <row r="384" customFormat="false" ht="54.75" hidden="false" customHeight="true" outlineLevel="0" collapsed="false">
      <c r="A384" s="33"/>
      <c r="B384" s="34" t="str">
        <f aca="true">IF(C384&lt;&gt;"",TODAY(),"")</f>
        <v/>
      </c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6"/>
      <c r="O384" s="38"/>
      <c r="P384" s="35"/>
      <c r="Q384" s="35"/>
      <c r="R384" s="35"/>
      <c r="S384" s="35"/>
      <c r="T384" s="35"/>
      <c r="U384" s="35"/>
      <c r="V384" s="35"/>
      <c r="W384" s="35"/>
      <c r="X384" s="35"/>
    </row>
    <row r="385" customFormat="false" ht="54.75" hidden="false" customHeight="true" outlineLevel="0" collapsed="false">
      <c r="A385" s="28"/>
      <c r="B385" s="29" t="str">
        <f aca="true">IF(C385&lt;&gt;"",TODAY(),"")</f>
        <v/>
      </c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1"/>
      <c r="O385" s="39"/>
      <c r="P385" s="30"/>
      <c r="Q385" s="30"/>
      <c r="R385" s="30"/>
      <c r="S385" s="30"/>
      <c r="T385" s="30"/>
      <c r="U385" s="30"/>
      <c r="V385" s="30"/>
      <c r="W385" s="30"/>
      <c r="X385" s="30"/>
    </row>
    <row r="386" customFormat="false" ht="54.75" hidden="false" customHeight="true" outlineLevel="0" collapsed="false">
      <c r="A386" s="33"/>
      <c r="B386" s="34" t="str">
        <f aca="true">IF(C386&lt;&gt;"",TODAY(),"")</f>
        <v/>
      </c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6"/>
      <c r="O386" s="38"/>
      <c r="P386" s="35"/>
      <c r="Q386" s="35"/>
      <c r="R386" s="35"/>
      <c r="S386" s="35"/>
      <c r="T386" s="35"/>
      <c r="U386" s="35"/>
      <c r="V386" s="35"/>
      <c r="W386" s="35"/>
      <c r="X386" s="35"/>
    </row>
    <row r="387" customFormat="false" ht="54.75" hidden="false" customHeight="true" outlineLevel="0" collapsed="false">
      <c r="A387" s="28"/>
      <c r="B387" s="29" t="str">
        <f aca="true">IF(C387&lt;&gt;"",TODAY(),"")</f>
        <v/>
      </c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1"/>
      <c r="O387" s="39"/>
      <c r="P387" s="30"/>
      <c r="Q387" s="30"/>
      <c r="R387" s="30"/>
      <c r="S387" s="30"/>
      <c r="T387" s="30"/>
      <c r="U387" s="30"/>
      <c r="V387" s="30"/>
      <c r="W387" s="30"/>
      <c r="X387" s="30"/>
    </row>
    <row r="388" customFormat="false" ht="54.75" hidden="false" customHeight="true" outlineLevel="0" collapsed="false">
      <c r="A388" s="33"/>
      <c r="B388" s="34" t="str">
        <f aca="true">IF(C388&lt;&gt;"",TODAY(),"")</f>
        <v/>
      </c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6"/>
      <c r="O388" s="38"/>
      <c r="P388" s="35"/>
      <c r="Q388" s="35"/>
      <c r="R388" s="35"/>
      <c r="S388" s="35"/>
      <c r="T388" s="35"/>
      <c r="U388" s="35"/>
      <c r="V388" s="35"/>
      <c r="W388" s="35"/>
      <c r="X388" s="35"/>
    </row>
    <row r="389" customFormat="false" ht="54.75" hidden="false" customHeight="true" outlineLevel="0" collapsed="false">
      <c r="A389" s="28"/>
      <c r="B389" s="29" t="str">
        <f aca="true">IF(C389&lt;&gt;"",TODAY(),"")</f>
        <v/>
      </c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1"/>
      <c r="O389" s="39"/>
      <c r="P389" s="30"/>
      <c r="Q389" s="30"/>
      <c r="R389" s="30"/>
      <c r="S389" s="30"/>
      <c r="T389" s="30"/>
      <c r="U389" s="30"/>
      <c r="V389" s="30"/>
      <c r="W389" s="30"/>
      <c r="X389" s="30"/>
    </row>
    <row r="390" customFormat="false" ht="54.75" hidden="false" customHeight="true" outlineLevel="0" collapsed="false">
      <c r="A390" s="33"/>
      <c r="B390" s="34" t="str">
        <f aca="true">IF(C390&lt;&gt;"",TODAY(),"")</f>
        <v/>
      </c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6"/>
      <c r="O390" s="38"/>
      <c r="P390" s="35"/>
      <c r="Q390" s="35"/>
      <c r="R390" s="35"/>
      <c r="S390" s="35"/>
      <c r="T390" s="35"/>
      <c r="U390" s="35"/>
      <c r="V390" s="35"/>
      <c r="W390" s="35"/>
      <c r="X390" s="35"/>
    </row>
    <row r="391" customFormat="false" ht="54.75" hidden="false" customHeight="true" outlineLevel="0" collapsed="false">
      <c r="A391" s="28"/>
      <c r="B391" s="29" t="str">
        <f aca="true">IF(C391&lt;&gt;"",TODAY(),"")</f>
        <v/>
      </c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1"/>
      <c r="O391" s="39"/>
      <c r="P391" s="30"/>
      <c r="Q391" s="30"/>
      <c r="R391" s="30"/>
      <c r="S391" s="30"/>
      <c r="T391" s="30"/>
      <c r="U391" s="30"/>
      <c r="V391" s="30"/>
      <c r="W391" s="30"/>
      <c r="X391" s="30"/>
    </row>
    <row r="392" customFormat="false" ht="54.75" hidden="false" customHeight="true" outlineLevel="0" collapsed="false">
      <c r="A392" s="33"/>
      <c r="B392" s="34" t="str">
        <f aca="true">IF(C392&lt;&gt;"",TODAY(),"")</f>
        <v/>
      </c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6"/>
      <c r="O392" s="38"/>
      <c r="P392" s="35"/>
      <c r="Q392" s="35"/>
      <c r="R392" s="35"/>
      <c r="S392" s="35"/>
      <c r="T392" s="35"/>
      <c r="U392" s="35"/>
      <c r="V392" s="35"/>
      <c r="W392" s="35"/>
      <c r="X392" s="35"/>
    </row>
    <row r="393" customFormat="false" ht="54.75" hidden="false" customHeight="true" outlineLevel="0" collapsed="false">
      <c r="A393" s="28"/>
      <c r="B393" s="29" t="str">
        <f aca="true">IF(C393&lt;&gt;"",TODAY(),"")</f>
        <v/>
      </c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1"/>
      <c r="O393" s="39"/>
      <c r="P393" s="30"/>
      <c r="Q393" s="30"/>
      <c r="R393" s="30"/>
      <c r="S393" s="30"/>
      <c r="T393" s="30"/>
      <c r="U393" s="30"/>
      <c r="V393" s="30"/>
      <c r="W393" s="30"/>
      <c r="X393" s="30"/>
    </row>
    <row r="394" customFormat="false" ht="54.75" hidden="false" customHeight="true" outlineLevel="0" collapsed="false">
      <c r="A394" s="33"/>
      <c r="B394" s="34" t="str">
        <f aca="true">IF(C394&lt;&gt;"",TODAY(),"")</f>
        <v/>
      </c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6"/>
      <c r="O394" s="38"/>
      <c r="P394" s="35"/>
      <c r="Q394" s="35"/>
      <c r="R394" s="35"/>
      <c r="S394" s="35"/>
      <c r="T394" s="35"/>
      <c r="U394" s="35"/>
      <c r="V394" s="35"/>
      <c r="W394" s="35"/>
      <c r="X394" s="35"/>
    </row>
    <row r="395" customFormat="false" ht="54.75" hidden="false" customHeight="true" outlineLevel="0" collapsed="false">
      <c r="A395" s="28"/>
      <c r="B395" s="29" t="str">
        <f aca="true">IF(C395&lt;&gt;"",TODAY(),"")</f>
        <v/>
      </c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1"/>
      <c r="O395" s="39"/>
      <c r="P395" s="30"/>
      <c r="Q395" s="30"/>
      <c r="R395" s="30"/>
      <c r="S395" s="30"/>
      <c r="T395" s="30"/>
      <c r="U395" s="30"/>
      <c r="V395" s="30"/>
      <c r="W395" s="30"/>
      <c r="X395" s="30"/>
    </row>
    <row r="396" customFormat="false" ht="54.75" hidden="false" customHeight="true" outlineLevel="0" collapsed="false">
      <c r="A396" s="33"/>
      <c r="B396" s="34" t="str">
        <f aca="true">IF(C396&lt;&gt;"",TODAY(),"")</f>
        <v/>
      </c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6"/>
      <c r="O396" s="38"/>
      <c r="P396" s="35"/>
      <c r="Q396" s="35"/>
      <c r="R396" s="35"/>
      <c r="S396" s="35"/>
      <c r="T396" s="35"/>
      <c r="U396" s="35"/>
      <c r="V396" s="35"/>
      <c r="W396" s="35"/>
      <c r="X396" s="35"/>
    </row>
    <row r="397" customFormat="false" ht="54.75" hidden="false" customHeight="true" outlineLevel="0" collapsed="false">
      <c r="A397" s="28"/>
      <c r="B397" s="29" t="str">
        <f aca="true">IF(C397&lt;&gt;"",TODAY(),"")</f>
        <v/>
      </c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1"/>
      <c r="O397" s="39"/>
      <c r="P397" s="30"/>
      <c r="Q397" s="30"/>
      <c r="R397" s="30"/>
      <c r="S397" s="30"/>
      <c r="T397" s="30"/>
      <c r="U397" s="30"/>
      <c r="V397" s="30"/>
      <c r="W397" s="30"/>
      <c r="X397" s="30"/>
    </row>
    <row r="398" customFormat="false" ht="54.75" hidden="false" customHeight="true" outlineLevel="0" collapsed="false">
      <c r="A398" s="33"/>
      <c r="B398" s="34" t="str">
        <f aca="true">IF(C398&lt;&gt;"",TODAY(),"")</f>
        <v/>
      </c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6"/>
      <c r="O398" s="38"/>
      <c r="P398" s="35"/>
      <c r="Q398" s="35"/>
      <c r="R398" s="35"/>
      <c r="S398" s="35"/>
      <c r="T398" s="35"/>
      <c r="U398" s="35"/>
      <c r="V398" s="35"/>
      <c r="W398" s="35"/>
      <c r="X398" s="35"/>
    </row>
    <row r="399" customFormat="false" ht="54.75" hidden="false" customHeight="true" outlineLevel="0" collapsed="false">
      <c r="A399" s="28"/>
      <c r="B399" s="29" t="str">
        <f aca="true">IF(C399&lt;&gt;"",TODAY(),"")</f>
        <v/>
      </c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1"/>
      <c r="O399" s="39"/>
      <c r="P399" s="30"/>
      <c r="Q399" s="30"/>
      <c r="R399" s="30"/>
      <c r="S399" s="30"/>
      <c r="T399" s="30"/>
      <c r="U399" s="30"/>
      <c r="V399" s="30"/>
      <c r="W399" s="30"/>
      <c r="X399" s="30"/>
    </row>
    <row r="400" customFormat="false" ht="54.75" hidden="false" customHeight="true" outlineLevel="0" collapsed="false">
      <c r="A400" s="33"/>
      <c r="B400" s="34" t="str">
        <f aca="true">IF(C400&lt;&gt;"",TODAY(),"")</f>
        <v/>
      </c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6"/>
      <c r="O400" s="38"/>
      <c r="P400" s="35"/>
      <c r="Q400" s="35"/>
      <c r="R400" s="35"/>
      <c r="S400" s="35"/>
      <c r="T400" s="35"/>
      <c r="U400" s="35"/>
      <c r="V400" s="35"/>
      <c r="W400" s="35"/>
      <c r="X400" s="35"/>
    </row>
    <row r="401" customFormat="false" ht="54.75" hidden="false" customHeight="true" outlineLevel="0" collapsed="false">
      <c r="A401" s="28"/>
      <c r="B401" s="29" t="str">
        <f aca="true">IF(C401&lt;&gt;"",TODAY(),"")</f>
        <v/>
      </c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1"/>
      <c r="O401" s="39"/>
      <c r="P401" s="30"/>
      <c r="Q401" s="30"/>
      <c r="R401" s="30"/>
      <c r="S401" s="30"/>
      <c r="T401" s="30"/>
      <c r="U401" s="30"/>
      <c r="V401" s="30"/>
      <c r="W401" s="30"/>
      <c r="X401" s="30"/>
    </row>
    <row r="402" customFormat="false" ht="54.75" hidden="false" customHeight="true" outlineLevel="0" collapsed="false">
      <c r="A402" s="33"/>
      <c r="B402" s="34" t="str">
        <f aca="true">IF(C402&lt;&gt;"",TODAY(),"")</f>
        <v/>
      </c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6"/>
      <c r="O402" s="38"/>
      <c r="P402" s="35"/>
      <c r="Q402" s="35"/>
      <c r="R402" s="35"/>
      <c r="S402" s="35"/>
      <c r="T402" s="35"/>
      <c r="U402" s="35"/>
      <c r="V402" s="35"/>
      <c r="W402" s="35"/>
      <c r="X402" s="35"/>
    </row>
    <row r="403" customFormat="false" ht="54.75" hidden="false" customHeight="true" outlineLevel="0" collapsed="false">
      <c r="A403" s="28"/>
      <c r="B403" s="29" t="str">
        <f aca="true">IF(C403&lt;&gt;"",TODAY(),"")</f>
        <v/>
      </c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1"/>
      <c r="O403" s="39"/>
      <c r="P403" s="30"/>
      <c r="Q403" s="30"/>
      <c r="R403" s="30"/>
      <c r="S403" s="30"/>
      <c r="T403" s="30"/>
      <c r="U403" s="30"/>
      <c r="V403" s="30"/>
      <c r="W403" s="30"/>
      <c r="X403" s="30"/>
    </row>
    <row r="404" customFormat="false" ht="54.75" hidden="false" customHeight="true" outlineLevel="0" collapsed="false">
      <c r="A404" s="33"/>
      <c r="B404" s="34" t="str">
        <f aca="true">IF(C404&lt;&gt;"",TODAY(),"")</f>
        <v/>
      </c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6"/>
      <c r="O404" s="38"/>
      <c r="P404" s="35"/>
      <c r="Q404" s="35"/>
      <c r="R404" s="35"/>
      <c r="S404" s="35"/>
      <c r="T404" s="35"/>
      <c r="U404" s="35"/>
      <c r="V404" s="35"/>
      <c r="W404" s="35"/>
      <c r="X404" s="35"/>
    </row>
    <row r="405" customFormat="false" ht="54.75" hidden="false" customHeight="true" outlineLevel="0" collapsed="false">
      <c r="A405" s="28"/>
      <c r="B405" s="29" t="str">
        <f aca="true">IF(C405&lt;&gt;"",TODAY(),"")</f>
        <v/>
      </c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1"/>
      <c r="O405" s="39"/>
      <c r="P405" s="30"/>
      <c r="Q405" s="30"/>
      <c r="R405" s="30"/>
      <c r="S405" s="30"/>
      <c r="T405" s="30"/>
      <c r="U405" s="30"/>
      <c r="V405" s="30"/>
      <c r="W405" s="30"/>
      <c r="X405" s="30"/>
    </row>
    <row r="406" customFormat="false" ht="54.75" hidden="false" customHeight="true" outlineLevel="0" collapsed="false">
      <c r="A406" s="33"/>
      <c r="B406" s="34" t="str">
        <f aca="true">IF(C406&lt;&gt;"",TODAY(),"")</f>
        <v/>
      </c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6"/>
      <c r="O406" s="38"/>
      <c r="P406" s="35"/>
      <c r="Q406" s="35"/>
      <c r="R406" s="35"/>
      <c r="S406" s="35"/>
      <c r="T406" s="35"/>
      <c r="U406" s="35"/>
      <c r="V406" s="35"/>
      <c r="W406" s="35"/>
      <c r="X406" s="35"/>
    </row>
    <row r="407" customFormat="false" ht="54.75" hidden="false" customHeight="true" outlineLevel="0" collapsed="false">
      <c r="A407" s="28"/>
      <c r="B407" s="29" t="str">
        <f aca="true">IF(C407&lt;&gt;"",TODAY(),"")</f>
        <v/>
      </c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1"/>
      <c r="O407" s="39"/>
      <c r="P407" s="30"/>
      <c r="Q407" s="30"/>
      <c r="R407" s="30"/>
      <c r="S407" s="30"/>
      <c r="T407" s="30"/>
      <c r="U407" s="30"/>
      <c r="V407" s="30"/>
      <c r="W407" s="30"/>
      <c r="X407" s="30"/>
    </row>
    <row r="408" customFormat="false" ht="54.75" hidden="false" customHeight="true" outlineLevel="0" collapsed="false">
      <c r="A408" s="33"/>
      <c r="B408" s="34" t="str">
        <f aca="true">IF(C408&lt;&gt;"",TODAY(),"")</f>
        <v/>
      </c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6"/>
      <c r="O408" s="38"/>
      <c r="P408" s="35"/>
      <c r="Q408" s="35"/>
      <c r="R408" s="35"/>
      <c r="S408" s="35"/>
      <c r="T408" s="35"/>
      <c r="U408" s="35"/>
      <c r="V408" s="35"/>
      <c r="W408" s="35"/>
      <c r="X408" s="35"/>
    </row>
    <row r="409" customFormat="false" ht="54.75" hidden="false" customHeight="true" outlineLevel="0" collapsed="false">
      <c r="A409" s="28"/>
      <c r="B409" s="29" t="str">
        <f aca="true">IF(C409&lt;&gt;"",TODAY(),"")</f>
        <v/>
      </c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1"/>
      <c r="O409" s="39"/>
      <c r="P409" s="30"/>
      <c r="Q409" s="30"/>
      <c r="R409" s="30"/>
      <c r="S409" s="30"/>
      <c r="T409" s="30"/>
      <c r="U409" s="30"/>
      <c r="V409" s="30"/>
      <c r="W409" s="30"/>
      <c r="X409" s="30"/>
    </row>
    <row r="410" customFormat="false" ht="54.75" hidden="false" customHeight="true" outlineLevel="0" collapsed="false">
      <c r="A410" s="33"/>
      <c r="B410" s="34" t="str">
        <f aca="true">IF(C410&lt;&gt;"",TODAY(),"")</f>
        <v/>
      </c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6"/>
      <c r="O410" s="38"/>
      <c r="P410" s="35"/>
      <c r="Q410" s="35"/>
      <c r="R410" s="35"/>
      <c r="S410" s="35"/>
      <c r="T410" s="35"/>
      <c r="U410" s="35"/>
      <c r="V410" s="35"/>
      <c r="W410" s="35"/>
      <c r="X410" s="35"/>
    </row>
    <row r="411" customFormat="false" ht="54.75" hidden="false" customHeight="true" outlineLevel="0" collapsed="false">
      <c r="A411" s="28"/>
      <c r="B411" s="29" t="str">
        <f aca="true">IF(C411&lt;&gt;"",TODAY(),"")</f>
        <v/>
      </c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1"/>
      <c r="O411" s="39"/>
      <c r="P411" s="30"/>
      <c r="Q411" s="30"/>
      <c r="R411" s="30"/>
      <c r="S411" s="30"/>
      <c r="T411" s="30"/>
      <c r="U411" s="30"/>
      <c r="V411" s="30"/>
      <c r="W411" s="30"/>
      <c r="X411" s="30"/>
    </row>
    <row r="412" customFormat="false" ht="54.75" hidden="false" customHeight="true" outlineLevel="0" collapsed="false">
      <c r="A412" s="33"/>
      <c r="B412" s="34" t="str">
        <f aca="true">IF(C412&lt;&gt;"",TODAY(),"")</f>
        <v/>
      </c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6"/>
      <c r="O412" s="38"/>
      <c r="P412" s="35"/>
      <c r="Q412" s="35"/>
      <c r="R412" s="35"/>
      <c r="S412" s="35"/>
      <c r="T412" s="35"/>
      <c r="U412" s="35"/>
      <c r="V412" s="35"/>
      <c r="W412" s="35"/>
      <c r="X412" s="35"/>
    </row>
    <row r="413" customFormat="false" ht="54.75" hidden="false" customHeight="true" outlineLevel="0" collapsed="false">
      <c r="A413" s="28"/>
      <c r="B413" s="29" t="str">
        <f aca="true">IF(C413&lt;&gt;"",TODAY(),"")</f>
        <v/>
      </c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1"/>
      <c r="O413" s="39"/>
      <c r="P413" s="30"/>
      <c r="Q413" s="30"/>
      <c r="R413" s="30"/>
      <c r="S413" s="30"/>
      <c r="T413" s="30"/>
      <c r="U413" s="30"/>
      <c r="V413" s="30"/>
      <c r="W413" s="30"/>
      <c r="X413" s="30"/>
    </row>
    <row r="414" customFormat="false" ht="54.75" hidden="false" customHeight="true" outlineLevel="0" collapsed="false">
      <c r="A414" s="33"/>
      <c r="B414" s="34" t="str">
        <f aca="true">IF(C414&lt;&gt;"",TODAY(),"")</f>
        <v/>
      </c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6"/>
      <c r="O414" s="38"/>
      <c r="P414" s="35"/>
      <c r="Q414" s="35"/>
      <c r="R414" s="35"/>
      <c r="S414" s="35"/>
      <c r="T414" s="35"/>
      <c r="U414" s="35"/>
      <c r="V414" s="35"/>
      <c r="W414" s="35"/>
      <c r="X414" s="35"/>
    </row>
    <row r="415" customFormat="false" ht="54.75" hidden="false" customHeight="true" outlineLevel="0" collapsed="false">
      <c r="A415" s="28"/>
      <c r="B415" s="29" t="str">
        <f aca="true">IF(C415&lt;&gt;"",TODAY(),"")</f>
        <v/>
      </c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1"/>
      <c r="O415" s="39"/>
      <c r="P415" s="30"/>
      <c r="Q415" s="30"/>
      <c r="R415" s="30"/>
      <c r="S415" s="30"/>
      <c r="T415" s="30"/>
      <c r="U415" s="30"/>
      <c r="V415" s="30"/>
      <c r="W415" s="30"/>
      <c r="X415" s="30"/>
    </row>
    <row r="416" customFormat="false" ht="54.75" hidden="false" customHeight="true" outlineLevel="0" collapsed="false">
      <c r="A416" s="33"/>
      <c r="B416" s="34" t="str">
        <f aca="true">IF(C416&lt;&gt;"",TODAY(),"")</f>
        <v/>
      </c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6"/>
      <c r="O416" s="38"/>
      <c r="P416" s="35"/>
      <c r="Q416" s="35"/>
      <c r="R416" s="35"/>
      <c r="S416" s="35"/>
      <c r="T416" s="35"/>
      <c r="U416" s="35"/>
      <c r="V416" s="35"/>
      <c r="W416" s="35"/>
      <c r="X416" s="35"/>
    </row>
    <row r="417" customFormat="false" ht="54.75" hidden="false" customHeight="true" outlineLevel="0" collapsed="false">
      <c r="A417" s="28"/>
      <c r="B417" s="29" t="str">
        <f aca="true">IF(C417&lt;&gt;"",TODAY(),"")</f>
        <v/>
      </c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1"/>
      <c r="O417" s="39"/>
      <c r="P417" s="30"/>
      <c r="Q417" s="30"/>
      <c r="R417" s="30"/>
      <c r="S417" s="30"/>
      <c r="T417" s="30"/>
      <c r="U417" s="30"/>
      <c r="V417" s="30"/>
      <c r="W417" s="30"/>
      <c r="X417" s="30"/>
    </row>
    <row r="418" customFormat="false" ht="54.75" hidden="false" customHeight="true" outlineLevel="0" collapsed="false">
      <c r="A418" s="33"/>
      <c r="B418" s="34" t="str">
        <f aca="true">IF(C418&lt;&gt;"",TODAY(),"")</f>
        <v/>
      </c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6"/>
      <c r="O418" s="38"/>
      <c r="P418" s="35"/>
      <c r="Q418" s="35"/>
      <c r="R418" s="35"/>
      <c r="S418" s="35"/>
      <c r="T418" s="35"/>
      <c r="U418" s="35"/>
      <c r="V418" s="35"/>
      <c r="W418" s="35"/>
      <c r="X418" s="35"/>
    </row>
    <row r="419" customFormat="false" ht="54.75" hidden="false" customHeight="true" outlineLevel="0" collapsed="false">
      <c r="A419" s="28"/>
      <c r="B419" s="29" t="str">
        <f aca="true">IF(C419&lt;&gt;"",TODAY(),"")</f>
        <v/>
      </c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1"/>
      <c r="O419" s="39"/>
      <c r="P419" s="30"/>
      <c r="Q419" s="30"/>
      <c r="R419" s="30"/>
      <c r="S419" s="30"/>
      <c r="T419" s="30"/>
      <c r="U419" s="30"/>
      <c r="V419" s="30"/>
      <c r="W419" s="30"/>
      <c r="X419" s="30"/>
    </row>
    <row r="420" customFormat="false" ht="54.75" hidden="false" customHeight="true" outlineLevel="0" collapsed="false">
      <c r="A420" s="33"/>
      <c r="B420" s="34" t="str">
        <f aca="true">IF(C420&lt;&gt;"",TODAY(),"")</f>
        <v/>
      </c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6"/>
      <c r="O420" s="38"/>
      <c r="P420" s="35"/>
      <c r="Q420" s="35"/>
      <c r="R420" s="35"/>
      <c r="S420" s="35"/>
      <c r="T420" s="35"/>
      <c r="U420" s="35"/>
      <c r="V420" s="35"/>
      <c r="W420" s="35"/>
      <c r="X420" s="35"/>
    </row>
    <row r="421" customFormat="false" ht="54.75" hidden="false" customHeight="true" outlineLevel="0" collapsed="false">
      <c r="A421" s="28"/>
      <c r="B421" s="29" t="str">
        <f aca="true">IF(C421&lt;&gt;"",TODAY(),"")</f>
        <v/>
      </c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1"/>
      <c r="O421" s="39"/>
      <c r="P421" s="30"/>
      <c r="Q421" s="30"/>
      <c r="R421" s="30"/>
      <c r="S421" s="30"/>
      <c r="T421" s="30"/>
      <c r="U421" s="30"/>
      <c r="V421" s="30"/>
      <c r="W421" s="30"/>
      <c r="X421" s="30"/>
    </row>
    <row r="422" customFormat="false" ht="54.75" hidden="false" customHeight="true" outlineLevel="0" collapsed="false">
      <c r="A422" s="33"/>
      <c r="B422" s="34" t="str">
        <f aca="true">IF(C422&lt;&gt;"",TODAY(),"")</f>
        <v/>
      </c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6"/>
      <c r="O422" s="38"/>
      <c r="P422" s="35"/>
      <c r="Q422" s="35"/>
      <c r="R422" s="35"/>
      <c r="S422" s="35"/>
      <c r="T422" s="35"/>
      <c r="U422" s="35"/>
      <c r="V422" s="35"/>
      <c r="W422" s="35"/>
      <c r="X422" s="35"/>
    </row>
    <row r="423" customFormat="false" ht="54.75" hidden="false" customHeight="true" outlineLevel="0" collapsed="false">
      <c r="A423" s="28"/>
      <c r="B423" s="29" t="str">
        <f aca="true">IF(C423&lt;&gt;"",TODAY(),"")</f>
        <v/>
      </c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1"/>
      <c r="O423" s="39"/>
      <c r="P423" s="30"/>
      <c r="Q423" s="30"/>
      <c r="R423" s="30"/>
      <c r="S423" s="30"/>
      <c r="T423" s="30"/>
      <c r="U423" s="30"/>
      <c r="V423" s="30"/>
      <c r="W423" s="30"/>
      <c r="X423" s="30"/>
    </row>
    <row r="424" customFormat="false" ht="54.75" hidden="false" customHeight="true" outlineLevel="0" collapsed="false">
      <c r="A424" s="33"/>
      <c r="B424" s="34" t="str">
        <f aca="true">IF(C424&lt;&gt;"",TODAY(),"")</f>
        <v/>
      </c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6"/>
      <c r="O424" s="38"/>
      <c r="P424" s="35"/>
      <c r="Q424" s="35"/>
      <c r="R424" s="35"/>
      <c r="S424" s="35"/>
      <c r="T424" s="35"/>
      <c r="U424" s="35"/>
      <c r="V424" s="35"/>
      <c r="W424" s="35"/>
      <c r="X424" s="35"/>
    </row>
    <row r="425" customFormat="false" ht="54.75" hidden="false" customHeight="true" outlineLevel="0" collapsed="false">
      <c r="A425" s="28"/>
      <c r="B425" s="29" t="str">
        <f aca="true">IF(C425&lt;&gt;"",TODAY(),"")</f>
        <v/>
      </c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1"/>
      <c r="O425" s="39"/>
      <c r="P425" s="30"/>
      <c r="Q425" s="30"/>
      <c r="R425" s="30"/>
      <c r="S425" s="30"/>
      <c r="T425" s="30"/>
      <c r="U425" s="30"/>
      <c r="V425" s="30"/>
      <c r="W425" s="30"/>
      <c r="X425" s="30"/>
    </row>
    <row r="426" customFormat="false" ht="54.75" hidden="false" customHeight="true" outlineLevel="0" collapsed="false">
      <c r="A426" s="33"/>
      <c r="B426" s="34" t="str">
        <f aca="true">IF(C426&lt;&gt;"",TODAY(),"")</f>
        <v/>
      </c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6"/>
      <c r="O426" s="38"/>
      <c r="P426" s="35"/>
      <c r="Q426" s="35"/>
      <c r="R426" s="35"/>
      <c r="S426" s="35"/>
      <c r="T426" s="35"/>
      <c r="U426" s="35"/>
      <c r="V426" s="35"/>
      <c r="W426" s="35"/>
      <c r="X426" s="35"/>
    </row>
    <row r="427" customFormat="false" ht="54.75" hidden="false" customHeight="true" outlineLevel="0" collapsed="false">
      <c r="A427" s="28"/>
      <c r="B427" s="29" t="str">
        <f aca="true">IF(C427&lt;&gt;"",TODAY(),"")</f>
        <v/>
      </c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1"/>
      <c r="O427" s="39"/>
      <c r="P427" s="30"/>
      <c r="Q427" s="30"/>
      <c r="R427" s="30"/>
      <c r="S427" s="30"/>
      <c r="T427" s="30"/>
      <c r="U427" s="30"/>
      <c r="V427" s="30"/>
      <c r="W427" s="30"/>
      <c r="X427" s="30"/>
    </row>
    <row r="428" customFormat="false" ht="54.75" hidden="false" customHeight="true" outlineLevel="0" collapsed="false">
      <c r="A428" s="33"/>
      <c r="B428" s="34" t="str">
        <f aca="true">IF(C428&lt;&gt;"",TODAY(),"")</f>
        <v/>
      </c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6"/>
      <c r="O428" s="38"/>
      <c r="P428" s="35"/>
      <c r="Q428" s="35"/>
      <c r="R428" s="35"/>
      <c r="S428" s="35"/>
      <c r="T428" s="35"/>
      <c r="U428" s="35"/>
      <c r="V428" s="35"/>
      <c r="W428" s="35"/>
      <c r="X428" s="35"/>
    </row>
    <row r="429" customFormat="false" ht="54.75" hidden="false" customHeight="true" outlineLevel="0" collapsed="false">
      <c r="A429" s="28"/>
      <c r="B429" s="29" t="str">
        <f aca="true">IF(C429&lt;&gt;"",TODAY(),"")</f>
        <v/>
      </c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1"/>
      <c r="O429" s="39"/>
      <c r="P429" s="30"/>
      <c r="Q429" s="30"/>
      <c r="R429" s="30"/>
      <c r="S429" s="30"/>
      <c r="T429" s="30"/>
      <c r="U429" s="30"/>
      <c r="V429" s="30"/>
      <c r="W429" s="30"/>
      <c r="X429" s="30"/>
    </row>
    <row r="430" customFormat="false" ht="54.75" hidden="false" customHeight="true" outlineLevel="0" collapsed="false">
      <c r="A430" s="33"/>
      <c r="B430" s="34" t="str">
        <f aca="true">IF(C430&lt;&gt;"",TODAY(),"")</f>
        <v/>
      </c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6"/>
      <c r="O430" s="38"/>
      <c r="P430" s="35"/>
      <c r="Q430" s="35"/>
      <c r="R430" s="35"/>
      <c r="S430" s="35"/>
      <c r="T430" s="35"/>
      <c r="U430" s="35"/>
      <c r="V430" s="35"/>
      <c r="W430" s="35"/>
      <c r="X430" s="35"/>
    </row>
    <row r="431" customFormat="false" ht="54.75" hidden="false" customHeight="true" outlineLevel="0" collapsed="false">
      <c r="A431" s="28"/>
      <c r="B431" s="29" t="str">
        <f aca="true">IF(C431&lt;&gt;"",TODAY(),"")</f>
        <v/>
      </c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1"/>
      <c r="O431" s="39"/>
      <c r="P431" s="30"/>
      <c r="Q431" s="30"/>
      <c r="R431" s="30"/>
      <c r="S431" s="30"/>
      <c r="T431" s="30"/>
      <c r="U431" s="30"/>
      <c r="V431" s="30"/>
      <c r="W431" s="30"/>
      <c r="X431" s="30"/>
    </row>
    <row r="432" customFormat="false" ht="54.75" hidden="false" customHeight="true" outlineLevel="0" collapsed="false">
      <c r="A432" s="33"/>
      <c r="B432" s="34" t="str">
        <f aca="true">IF(C432&lt;&gt;"",TODAY(),"")</f>
        <v/>
      </c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6"/>
      <c r="O432" s="38"/>
      <c r="P432" s="35"/>
      <c r="Q432" s="35"/>
      <c r="R432" s="35"/>
      <c r="S432" s="35"/>
      <c r="T432" s="35"/>
      <c r="U432" s="35"/>
      <c r="V432" s="35"/>
      <c r="W432" s="35"/>
      <c r="X432" s="35"/>
    </row>
    <row r="433" customFormat="false" ht="54.75" hidden="false" customHeight="true" outlineLevel="0" collapsed="false">
      <c r="A433" s="28"/>
      <c r="B433" s="29" t="str">
        <f aca="true">IF(C433&lt;&gt;"",TODAY(),"")</f>
        <v/>
      </c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1"/>
      <c r="O433" s="39"/>
      <c r="P433" s="30"/>
      <c r="Q433" s="30"/>
      <c r="R433" s="30"/>
      <c r="S433" s="30"/>
      <c r="T433" s="30"/>
      <c r="U433" s="30"/>
      <c r="V433" s="30"/>
      <c r="W433" s="30"/>
      <c r="X433" s="30"/>
    </row>
    <row r="434" customFormat="false" ht="54.75" hidden="false" customHeight="true" outlineLevel="0" collapsed="false">
      <c r="A434" s="33"/>
      <c r="B434" s="34" t="str">
        <f aca="true">IF(C434&lt;&gt;"",TODAY(),"")</f>
        <v/>
      </c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6"/>
      <c r="O434" s="38"/>
      <c r="P434" s="35"/>
      <c r="Q434" s="35"/>
      <c r="R434" s="35"/>
      <c r="S434" s="35"/>
      <c r="T434" s="35"/>
      <c r="U434" s="35"/>
      <c r="V434" s="35"/>
      <c r="W434" s="35"/>
      <c r="X434" s="35"/>
    </row>
    <row r="435" customFormat="false" ht="54.75" hidden="false" customHeight="true" outlineLevel="0" collapsed="false">
      <c r="A435" s="28"/>
      <c r="B435" s="29" t="str">
        <f aca="true">IF(C435&lt;&gt;"",TODAY(),"")</f>
        <v/>
      </c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1"/>
      <c r="O435" s="39"/>
      <c r="P435" s="30"/>
      <c r="Q435" s="30"/>
      <c r="R435" s="30"/>
      <c r="S435" s="30"/>
      <c r="T435" s="30"/>
      <c r="U435" s="30"/>
      <c r="V435" s="30"/>
      <c r="W435" s="30"/>
      <c r="X435" s="30"/>
    </row>
    <row r="436" customFormat="false" ht="54.75" hidden="false" customHeight="true" outlineLevel="0" collapsed="false">
      <c r="A436" s="33"/>
      <c r="B436" s="34" t="str">
        <f aca="true">IF(C436&lt;&gt;"",TODAY(),"")</f>
        <v/>
      </c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6"/>
      <c r="O436" s="38"/>
      <c r="P436" s="35"/>
      <c r="Q436" s="35"/>
      <c r="R436" s="35"/>
      <c r="S436" s="35"/>
      <c r="T436" s="35"/>
      <c r="U436" s="35"/>
      <c r="V436" s="35"/>
      <c r="W436" s="35"/>
      <c r="X436" s="35"/>
    </row>
    <row r="437" customFormat="false" ht="54.75" hidden="false" customHeight="true" outlineLevel="0" collapsed="false">
      <c r="A437" s="28"/>
      <c r="B437" s="29" t="str">
        <f aca="true">IF(C437&lt;&gt;"",TODAY(),"")</f>
        <v/>
      </c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1"/>
      <c r="O437" s="39"/>
      <c r="P437" s="30"/>
      <c r="Q437" s="30"/>
      <c r="R437" s="30"/>
      <c r="S437" s="30"/>
      <c r="T437" s="30"/>
      <c r="U437" s="30"/>
      <c r="V437" s="30"/>
      <c r="W437" s="30"/>
      <c r="X437" s="30"/>
    </row>
    <row r="438" customFormat="false" ht="54.75" hidden="false" customHeight="true" outlineLevel="0" collapsed="false">
      <c r="A438" s="33"/>
      <c r="B438" s="34" t="str">
        <f aca="true">IF(C438&lt;&gt;"",TODAY(),"")</f>
        <v/>
      </c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6"/>
      <c r="O438" s="38"/>
      <c r="P438" s="35"/>
      <c r="Q438" s="35"/>
      <c r="R438" s="35"/>
      <c r="S438" s="35"/>
      <c r="T438" s="35"/>
      <c r="U438" s="35"/>
      <c r="V438" s="35"/>
      <c r="W438" s="35"/>
      <c r="X438" s="35"/>
    </row>
    <row r="439" customFormat="false" ht="54.75" hidden="false" customHeight="true" outlineLevel="0" collapsed="false">
      <c r="A439" s="28"/>
      <c r="B439" s="29" t="str">
        <f aca="true">IF(C439&lt;&gt;"",TODAY(),"")</f>
        <v/>
      </c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1"/>
      <c r="O439" s="39"/>
      <c r="P439" s="30"/>
      <c r="Q439" s="30"/>
      <c r="R439" s="30"/>
      <c r="S439" s="30"/>
      <c r="T439" s="30"/>
      <c r="U439" s="30"/>
      <c r="V439" s="30"/>
      <c r="W439" s="30"/>
      <c r="X439" s="30"/>
    </row>
    <row r="440" customFormat="false" ht="54.75" hidden="false" customHeight="true" outlineLevel="0" collapsed="false">
      <c r="A440" s="33"/>
      <c r="B440" s="34" t="str">
        <f aca="true">IF(C440&lt;&gt;"",TODAY(),"")</f>
        <v/>
      </c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6"/>
      <c r="O440" s="38"/>
      <c r="P440" s="35"/>
      <c r="Q440" s="35"/>
      <c r="R440" s="35"/>
      <c r="S440" s="35"/>
      <c r="T440" s="35"/>
      <c r="U440" s="35"/>
      <c r="V440" s="35"/>
      <c r="W440" s="35"/>
      <c r="X440" s="35"/>
    </row>
    <row r="441" customFormat="false" ht="54.75" hidden="false" customHeight="true" outlineLevel="0" collapsed="false">
      <c r="A441" s="28"/>
      <c r="B441" s="29" t="str">
        <f aca="true">IF(C441&lt;&gt;"",TODAY(),"")</f>
        <v/>
      </c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1"/>
      <c r="O441" s="39"/>
      <c r="P441" s="30"/>
      <c r="Q441" s="30"/>
      <c r="R441" s="30"/>
      <c r="S441" s="30"/>
      <c r="T441" s="30"/>
      <c r="U441" s="30"/>
      <c r="V441" s="30"/>
      <c r="W441" s="30"/>
      <c r="X441" s="30"/>
    </row>
    <row r="442" customFormat="false" ht="54.75" hidden="false" customHeight="true" outlineLevel="0" collapsed="false">
      <c r="A442" s="33"/>
      <c r="B442" s="34" t="str">
        <f aca="true">IF(C442&lt;&gt;"",TODAY(),"")</f>
        <v/>
      </c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6"/>
      <c r="O442" s="38"/>
      <c r="P442" s="35"/>
      <c r="Q442" s="35"/>
      <c r="R442" s="35"/>
      <c r="S442" s="35"/>
      <c r="T442" s="35"/>
      <c r="U442" s="35"/>
      <c r="V442" s="35"/>
      <c r="W442" s="35"/>
      <c r="X442" s="35"/>
    </row>
    <row r="443" customFormat="false" ht="54.75" hidden="false" customHeight="true" outlineLevel="0" collapsed="false">
      <c r="A443" s="28"/>
      <c r="B443" s="29" t="str">
        <f aca="true">IF(C443&lt;&gt;"",TODAY(),"")</f>
        <v/>
      </c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1"/>
      <c r="O443" s="39"/>
      <c r="P443" s="30"/>
      <c r="Q443" s="30"/>
      <c r="R443" s="30"/>
      <c r="S443" s="30"/>
      <c r="T443" s="30"/>
      <c r="U443" s="30"/>
      <c r="V443" s="30"/>
      <c r="W443" s="30"/>
      <c r="X443" s="30"/>
    </row>
    <row r="444" customFormat="false" ht="54.75" hidden="false" customHeight="true" outlineLevel="0" collapsed="false">
      <c r="A444" s="33"/>
      <c r="B444" s="34" t="str">
        <f aca="true">IF(C444&lt;&gt;"",TODAY(),"")</f>
        <v/>
      </c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6"/>
      <c r="O444" s="38"/>
      <c r="P444" s="35"/>
      <c r="Q444" s="35"/>
      <c r="R444" s="35"/>
      <c r="S444" s="35"/>
      <c r="T444" s="35"/>
      <c r="U444" s="35"/>
      <c r="V444" s="35"/>
      <c r="W444" s="35"/>
      <c r="X444" s="35"/>
    </row>
    <row r="445" customFormat="false" ht="54.75" hidden="false" customHeight="true" outlineLevel="0" collapsed="false">
      <c r="A445" s="28"/>
      <c r="B445" s="29" t="str">
        <f aca="true">IF(C445&lt;&gt;"",TODAY(),"")</f>
        <v/>
      </c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1"/>
      <c r="O445" s="39"/>
      <c r="P445" s="30"/>
      <c r="Q445" s="30"/>
      <c r="R445" s="30"/>
      <c r="S445" s="30"/>
      <c r="T445" s="30"/>
      <c r="U445" s="30"/>
      <c r="V445" s="30"/>
      <c r="W445" s="30"/>
      <c r="X445" s="30"/>
    </row>
    <row r="446" customFormat="false" ht="54.75" hidden="false" customHeight="true" outlineLevel="0" collapsed="false">
      <c r="A446" s="33"/>
      <c r="B446" s="34" t="str">
        <f aca="true">IF(C446&lt;&gt;"",TODAY(),"")</f>
        <v/>
      </c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6"/>
      <c r="O446" s="38"/>
      <c r="P446" s="35"/>
      <c r="Q446" s="35"/>
      <c r="R446" s="35"/>
      <c r="S446" s="35"/>
      <c r="T446" s="35"/>
      <c r="U446" s="35"/>
      <c r="V446" s="35"/>
      <c r="W446" s="35"/>
      <c r="X446" s="35"/>
    </row>
    <row r="447" customFormat="false" ht="54.75" hidden="false" customHeight="true" outlineLevel="0" collapsed="false">
      <c r="A447" s="28"/>
      <c r="B447" s="29" t="str">
        <f aca="true">IF(C447&lt;&gt;"",TODAY(),"")</f>
        <v/>
      </c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1"/>
      <c r="O447" s="39"/>
      <c r="P447" s="30"/>
      <c r="Q447" s="30"/>
      <c r="R447" s="30"/>
      <c r="S447" s="30"/>
      <c r="T447" s="30"/>
      <c r="U447" s="30"/>
      <c r="V447" s="30"/>
      <c r="W447" s="30"/>
      <c r="X447" s="30"/>
    </row>
    <row r="448" customFormat="false" ht="54.75" hidden="false" customHeight="true" outlineLevel="0" collapsed="false">
      <c r="A448" s="33"/>
      <c r="B448" s="34" t="str">
        <f aca="true">IF(C448&lt;&gt;"",TODAY(),"")</f>
        <v/>
      </c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6"/>
      <c r="O448" s="38"/>
      <c r="P448" s="35"/>
      <c r="Q448" s="35"/>
      <c r="R448" s="35"/>
      <c r="S448" s="35"/>
      <c r="T448" s="35"/>
      <c r="U448" s="35"/>
      <c r="V448" s="35"/>
      <c r="W448" s="35"/>
      <c r="X448" s="35"/>
    </row>
    <row r="449" customFormat="false" ht="54.75" hidden="false" customHeight="true" outlineLevel="0" collapsed="false">
      <c r="A449" s="28"/>
      <c r="B449" s="29" t="str">
        <f aca="true">IF(C449&lt;&gt;"",TODAY(),"")</f>
        <v/>
      </c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1"/>
      <c r="O449" s="39"/>
      <c r="P449" s="30"/>
      <c r="Q449" s="30"/>
      <c r="R449" s="30"/>
      <c r="S449" s="30"/>
      <c r="T449" s="30"/>
      <c r="U449" s="30"/>
      <c r="V449" s="30"/>
      <c r="W449" s="30"/>
      <c r="X449" s="30"/>
    </row>
    <row r="450" customFormat="false" ht="54.75" hidden="false" customHeight="true" outlineLevel="0" collapsed="false">
      <c r="A450" s="33"/>
      <c r="B450" s="34" t="str">
        <f aca="true">IF(C450&lt;&gt;"",TODAY(),"")</f>
        <v/>
      </c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6"/>
      <c r="O450" s="38"/>
      <c r="P450" s="35"/>
      <c r="Q450" s="35"/>
      <c r="R450" s="35"/>
      <c r="S450" s="35"/>
      <c r="T450" s="35"/>
      <c r="U450" s="35"/>
      <c r="V450" s="35"/>
      <c r="W450" s="35"/>
      <c r="X450" s="35"/>
    </row>
    <row r="451" customFormat="false" ht="54.75" hidden="false" customHeight="true" outlineLevel="0" collapsed="false">
      <c r="A451" s="28"/>
      <c r="B451" s="29" t="str">
        <f aca="true">IF(C451&lt;&gt;"",TODAY(),"")</f>
        <v/>
      </c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1"/>
      <c r="O451" s="39"/>
      <c r="P451" s="30"/>
      <c r="Q451" s="30"/>
      <c r="R451" s="30"/>
      <c r="S451" s="30"/>
      <c r="T451" s="30"/>
      <c r="U451" s="30"/>
      <c r="V451" s="30"/>
      <c r="W451" s="30"/>
      <c r="X451" s="30"/>
    </row>
    <row r="452" customFormat="false" ht="54.75" hidden="false" customHeight="true" outlineLevel="0" collapsed="false">
      <c r="A452" s="33"/>
      <c r="B452" s="34" t="str">
        <f aca="true">IF(C452&lt;&gt;"",TODAY(),"")</f>
        <v/>
      </c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6"/>
      <c r="O452" s="38"/>
      <c r="P452" s="35"/>
      <c r="Q452" s="35"/>
      <c r="R452" s="35"/>
      <c r="S452" s="35"/>
      <c r="T452" s="35"/>
      <c r="U452" s="35"/>
      <c r="V452" s="35"/>
      <c r="W452" s="35"/>
      <c r="X452" s="35"/>
    </row>
    <row r="453" customFormat="false" ht="54.75" hidden="false" customHeight="true" outlineLevel="0" collapsed="false">
      <c r="A453" s="28"/>
      <c r="B453" s="29" t="str">
        <f aca="true">IF(C453&lt;&gt;"",TODAY(),"")</f>
        <v/>
      </c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1"/>
      <c r="O453" s="39"/>
      <c r="P453" s="30"/>
      <c r="Q453" s="30"/>
      <c r="R453" s="30"/>
      <c r="S453" s="30"/>
      <c r="T453" s="30"/>
      <c r="U453" s="30"/>
      <c r="V453" s="30"/>
      <c r="W453" s="30"/>
      <c r="X453" s="30"/>
    </row>
    <row r="454" customFormat="false" ht="54.75" hidden="false" customHeight="true" outlineLevel="0" collapsed="false">
      <c r="A454" s="33"/>
      <c r="B454" s="34" t="str">
        <f aca="true">IF(C454&lt;&gt;"",TODAY(),"")</f>
        <v/>
      </c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6"/>
      <c r="O454" s="38"/>
      <c r="P454" s="35"/>
      <c r="Q454" s="35"/>
      <c r="R454" s="35"/>
      <c r="S454" s="35"/>
      <c r="T454" s="35"/>
      <c r="U454" s="35"/>
      <c r="V454" s="35"/>
      <c r="W454" s="35"/>
      <c r="X454" s="35"/>
    </row>
    <row r="455" customFormat="false" ht="54.75" hidden="false" customHeight="true" outlineLevel="0" collapsed="false">
      <c r="A455" s="28"/>
      <c r="B455" s="29" t="str">
        <f aca="true">IF(C455&lt;&gt;"",TODAY(),"")</f>
        <v/>
      </c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1"/>
      <c r="O455" s="39"/>
      <c r="P455" s="30"/>
      <c r="Q455" s="30"/>
      <c r="R455" s="30"/>
      <c r="S455" s="30"/>
      <c r="T455" s="30"/>
      <c r="U455" s="30"/>
      <c r="V455" s="30"/>
      <c r="W455" s="30"/>
      <c r="X455" s="30"/>
    </row>
    <row r="456" customFormat="false" ht="54.75" hidden="false" customHeight="true" outlineLevel="0" collapsed="false">
      <c r="A456" s="33"/>
      <c r="B456" s="34" t="str">
        <f aca="true">IF(C456&lt;&gt;"",TODAY(),"")</f>
        <v/>
      </c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6"/>
      <c r="O456" s="38"/>
      <c r="P456" s="35"/>
      <c r="Q456" s="35"/>
      <c r="R456" s="35"/>
      <c r="S456" s="35"/>
      <c r="T456" s="35"/>
      <c r="U456" s="35"/>
      <c r="V456" s="35"/>
      <c r="W456" s="35"/>
      <c r="X456" s="35"/>
    </row>
    <row r="457" customFormat="false" ht="54.75" hidden="false" customHeight="true" outlineLevel="0" collapsed="false">
      <c r="A457" s="28"/>
      <c r="B457" s="29" t="str">
        <f aca="true">IF(C457&lt;&gt;"",TODAY(),"")</f>
        <v/>
      </c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1"/>
      <c r="O457" s="39"/>
      <c r="P457" s="30"/>
      <c r="Q457" s="30"/>
      <c r="R457" s="30"/>
      <c r="S457" s="30"/>
      <c r="T457" s="30"/>
      <c r="U457" s="30"/>
      <c r="V457" s="30"/>
      <c r="W457" s="30"/>
      <c r="X457" s="30"/>
    </row>
    <row r="458" customFormat="false" ht="54.75" hidden="false" customHeight="true" outlineLevel="0" collapsed="false">
      <c r="A458" s="33"/>
      <c r="B458" s="34" t="str">
        <f aca="true">IF(C458&lt;&gt;"",TODAY(),"")</f>
        <v/>
      </c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6"/>
      <c r="O458" s="38"/>
      <c r="P458" s="35"/>
      <c r="Q458" s="35"/>
      <c r="R458" s="35"/>
      <c r="S458" s="35"/>
      <c r="T458" s="35"/>
      <c r="U458" s="35"/>
      <c r="V458" s="35"/>
      <c r="W458" s="35"/>
      <c r="X458" s="35"/>
    </row>
    <row r="459" customFormat="false" ht="54.75" hidden="false" customHeight="true" outlineLevel="0" collapsed="false">
      <c r="A459" s="28"/>
      <c r="B459" s="29" t="str">
        <f aca="true">IF(C459&lt;&gt;"",TODAY(),"")</f>
        <v/>
      </c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1"/>
      <c r="O459" s="39"/>
      <c r="P459" s="30"/>
      <c r="Q459" s="30"/>
      <c r="R459" s="30"/>
      <c r="S459" s="30"/>
      <c r="T459" s="30"/>
      <c r="U459" s="30"/>
      <c r="V459" s="30"/>
      <c r="W459" s="30"/>
      <c r="X459" s="30"/>
    </row>
    <row r="460" customFormat="false" ht="54.75" hidden="false" customHeight="true" outlineLevel="0" collapsed="false">
      <c r="A460" s="33"/>
      <c r="B460" s="34" t="str">
        <f aca="true">IF(C460&lt;&gt;"",TODAY(),"")</f>
        <v/>
      </c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6"/>
      <c r="O460" s="38"/>
      <c r="P460" s="35"/>
      <c r="Q460" s="35"/>
      <c r="R460" s="35"/>
      <c r="S460" s="35"/>
      <c r="T460" s="35"/>
      <c r="U460" s="35"/>
      <c r="V460" s="35"/>
      <c r="W460" s="35"/>
      <c r="X460" s="35"/>
    </row>
    <row r="461" customFormat="false" ht="54.75" hidden="false" customHeight="true" outlineLevel="0" collapsed="false">
      <c r="A461" s="28"/>
      <c r="B461" s="29" t="str">
        <f aca="true">IF(C461&lt;&gt;"",TODAY(),"")</f>
        <v/>
      </c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1"/>
      <c r="O461" s="39"/>
      <c r="P461" s="30"/>
      <c r="Q461" s="30"/>
      <c r="R461" s="30"/>
      <c r="S461" s="30"/>
      <c r="T461" s="30"/>
      <c r="U461" s="30"/>
      <c r="V461" s="30"/>
      <c r="W461" s="30"/>
      <c r="X461" s="30"/>
    </row>
    <row r="462" customFormat="false" ht="54.75" hidden="false" customHeight="true" outlineLevel="0" collapsed="false">
      <c r="A462" s="33"/>
      <c r="B462" s="34" t="str">
        <f aca="true">IF(C462&lt;&gt;"",TODAY(),"")</f>
        <v/>
      </c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6"/>
      <c r="O462" s="38"/>
      <c r="P462" s="35"/>
      <c r="Q462" s="35"/>
      <c r="R462" s="35"/>
      <c r="S462" s="35"/>
      <c r="T462" s="35"/>
      <c r="U462" s="35"/>
      <c r="V462" s="35"/>
      <c r="W462" s="35"/>
      <c r="X462" s="35"/>
    </row>
    <row r="463" customFormat="false" ht="54.75" hidden="false" customHeight="true" outlineLevel="0" collapsed="false">
      <c r="A463" s="28"/>
      <c r="B463" s="29" t="str">
        <f aca="true">IF(C463&lt;&gt;"",TODAY(),"")</f>
        <v/>
      </c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1"/>
      <c r="O463" s="39"/>
      <c r="P463" s="30"/>
      <c r="Q463" s="30"/>
      <c r="R463" s="30"/>
      <c r="S463" s="30"/>
      <c r="T463" s="30"/>
      <c r="U463" s="30"/>
      <c r="V463" s="30"/>
      <c r="W463" s="30"/>
      <c r="X463" s="30"/>
    </row>
    <row r="464" customFormat="false" ht="54.75" hidden="false" customHeight="true" outlineLevel="0" collapsed="false">
      <c r="A464" s="33"/>
      <c r="B464" s="34" t="str">
        <f aca="true">IF(C464&lt;&gt;"",TODAY(),"")</f>
        <v/>
      </c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6"/>
      <c r="O464" s="38"/>
      <c r="P464" s="35"/>
      <c r="Q464" s="35"/>
      <c r="R464" s="35"/>
      <c r="S464" s="35"/>
      <c r="T464" s="35"/>
      <c r="U464" s="35"/>
      <c r="V464" s="35"/>
      <c r="W464" s="35"/>
      <c r="X464" s="35"/>
    </row>
    <row r="465" customFormat="false" ht="54.75" hidden="false" customHeight="true" outlineLevel="0" collapsed="false">
      <c r="A465" s="28"/>
      <c r="B465" s="29" t="str">
        <f aca="true">IF(C465&lt;&gt;"",TODAY(),"")</f>
        <v/>
      </c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1"/>
      <c r="O465" s="39"/>
      <c r="P465" s="30"/>
      <c r="Q465" s="30"/>
      <c r="R465" s="30"/>
      <c r="S465" s="30"/>
      <c r="T465" s="30"/>
      <c r="U465" s="30"/>
      <c r="V465" s="30"/>
      <c r="W465" s="30"/>
      <c r="X465" s="30"/>
    </row>
    <row r="466" customFormat="false" ht="54.75" hidden="false" customHeight="true" outlineLevel="0" collapsed="false">
      <c r="A466" s="33"/>
      <c r="B466" s="34" t="str">
        <f aca="true">IF(C466&lt;&gt;"",TODAY(),"")</f>
        <v/>
      </c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6"/>
      <c r="O466" s="38"/>
      <c r="P466" s="35"/>
      <c r="Q466" s="35"/>
      <c r="R466" s="35"/>
      <c r="S466" s="35"/>
      <c r="T466" s="35"/>
      <c r="U466" s="35"/>
      <c r="V466" s="35"/>
      <c r="W466" s="35"/>
      <c r="X466" s="35"/>
    </row>
    <row r="467" customFormat="false" ht="54.75" hidden="false" customHeight="true" outlineLevel="0" collapsed="false">
      <c r="A467" s="28"/>
      <c r="B467" s="29" t="str">
        <f aca="true">IF(C467&lt;&gt;"",TODAY(),"")</f>
        <v/>
      </c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1"/>
      <c r="O467" s="39"/>
      <c r="P467" s="30"/>
      <c r="Q467" s="30"/>
      <c r="R467" s="30"/>
      <c r="S467" s="30"/>
      <c r="T467" s="30"/>
      <c r="U467" s="30"/>
      <c r="V467" s="30"/>
      <c r="W467" s="30"/>
      <c r="X467" s="30"/>
    </row>
    <row r="468" customFormat="false" ht="54.75" hidden="false" customHeight="true" outlineLevel="0" collapsed="false">
      <c r="A468" s="33"/>
      <c r="B468" s="34" t="str">
        <f aca="true">IF(C468&lt;&gt;"",TODAY(),"")</f>
        <v/>
      </c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6"/>
      <c r="O468" s="38"/>
      <c r="P468" s="35"/>
      <c r="Q468" s="35"/>
      <c r="R468" s="35"/>
      <c r="S468" s="35"/>
      <c r="T468" s="35"/>
      <c r="U468" s="35"/>
      <c r="V468" s="35"/>
      <c r="W468" s="35"/>
      <c r="X468" s="35"/>
    </row>
    <row r="469" customFormat="false" ht="54.75" hidden="false" customHeight="true" outlineLevel="0" collapsed="false">
      <c r="A469" s="28"/>
      <c r="B469" s="29" t="str">
        <f aca="true">IF(C469&lt;&gt;"",TODAY(),"")</f>
        <v/>
      </c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1"/>
      <c r="O469" s="39"/>
      <c r="P469" s="30"/>
      <c r="Q469" s="30"/>
      <c r="R469" s="30"/>
      <c r="S469" s="30"/>
      <c r="T469" s="30"/>
      <c r="U469" s="30"/>
      <c r="V469" s="30"/>
      <c r="W469" s="30"/>
      <c r="X469" s="30"/>
    </row>
    <row r="470" customFormat="false" ht="54.75" hidden="false" customHeight="true" outlineLevel="0" collapsed="false">
      <c r="A470" s="33"/>
      <c r="B470" s="34" t="str">
        <f aca="true">IF(C470&lt;&gt;"",TODAY(),"")</f>
        <v/>
      </c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6"/>
      <c r="O470" s="38"/>
      <c r="P470" s="35"/>
      <c r="Q470" s="35"/>
      <c r="R470" s="35"/>
      <c r="S470" s="35"/>
      <c r="T470" s="35"/>
      <c r="U470" s="35"/>
      <c r="V470" s="35"/>
      <c r="W470" s="35"/>
      <c r="X470" s="35"/>
    </row>
    <row r="471" customFormat="false" ht="54.75" hidden="false" customHeight="true" outlineLevel="0" collapsed="false">
      <c r="A471" s="28"/>
      <c r="B471" s="29" t="str">
        <f aca="true">IF(C471&lt;&gt;"",TODAY(),"")</f>
        <v/>
      </c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1"/>
      <c r="O471" s="39"/>
      <c r="P471" s="30"/>
      <c r="Q471" s="30"/>
      <c r="R471" s="30"/>
      <c r="S471" s="30"/>
      <c r="T471" s="30"/>
      <c r="U471" s="30"/>
      <c r="V471" s="30"/>
      <c r="W471" s="30"/>
      <c r="X471" s="30"/>
    </row>
    <row r="472" customFormat="false" ht="54.75" hidden="false" customHeight="true" outlineLevel="0" collapsed="false">
      <c r="A472" s="33"/>
      <c r="B472" s="34" t="str">
        <f aca="true">IF(C472&lt;&gt;"",TODAY(),"")</f>
        <v/>
      </c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6"/>
      <c r="O472" s="38"/>
      <c r="P472" s="35"/>
      <c r="Q472" s="35"/>
      <c r="R472" s="35"/>
      <c r="S472" s="35"/>
      <c r="T472" s="35"/>
      <c r="U472" s="35"/>
      <c r="V472" s="35"/>
      <c r="W472" s="35"/>
      <c r="X472" s="35"/>
    </row>
    <row r="473" customFormat="false" ht="54.75" hidden="false" customHeight="true" outlineLevel="0" collapsed="false">
      <c r="A473" s="28"/>
      <c r="B473" s="29" t="str">
        <f aca="true">IF(C473&lt;&gt;"",TODAY(),"")</f>
        <v/>
      </c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1"/>
      <c r="O473" s="39"/>
      <c r="P473" s="30"/>
      <c r="Q473" s="30"/>
      <c r="R473" s="30"/>
      <c r="S473" s="30"/>
      <c r="T473" s="30"/>
      <c r="U473" s="30"/>
      <c r="V473" s="30"/>
      <c r="W473" s="30"/>
      <c r="X473" s="30"/>
    </row>
    <row r="474" customFormat="false" ht="54.75" hidden="false" customHeight="true" outlineLevel="0" collapsed="false">
      <c r="A474" s="33"/>
      <c r="B474" s="34" t="str">
        <f aca="true">IF(C474&lt;&gt;"",TODAY(),"")</f>
        <v/>
      </c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6"/>
      <c r="O474" s="38"/>
      <c r="P474" s="35"/>
      <c r="Q474" s="35"/>
      <c r="R474" s="35"/>
      <c r="S474" s="35"/>
      <c r="T474" s="35"/>
      <c r="U474" s="35"/>
      <c r="V474" s="35"/>
      <c r="W474" s="35"/>
      <c r="X474" s="35"/>
    </row>
    <row r="475" customFormat="false" ht="54.75" hidden="false" customHeight="true" outlineLevel="0" collapsed="false">
      <c r="A475" s="28"/>
      <c r="B475" s="29" t="str">
        <f aca="true">IF(C475&lt;&gt;"",TODAY(),"")</f>
        <v/>
      </c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1"/>
      <c r="O475" s="39"/>
      <c r="P475" s="30"/>
      <c r="Q475" s="30"/>
      <c r="R475" s="30"/>
      <c r="S475" s="30"/>
      <c r="T475" s="30"/>
      <c r="U475" s="30"/>
      <c r="V475" s="30"/>
      <c r="W475" s="30"/>
      <c r="X475" s="30"/>
    </row>
    <row r="476" customFormat="false" ht="54.75" hidden="false" customHeight="true" outlineLevel="0" collapsed="false">
      <c r="A476" s="33"/>
      <c r="B476" s="34" t="str">
        <f aca="true">IF(C476&lt;&gt;"",TODAY(),"")</f>
        <v/>
      </c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6"/>
      <c r="O476" s="38"/>
      <c r="P476" s="35"/>
      <c r="Q476" s="35"/>
      <c r="R476" s="35"/>
      <c r="S476" s="35"/>
      <c r="T476" s="35"/>
      <c r="U476" s="35"/>
      <c r="V476" s="35"/>
      <c r="W476" s="35"/>
      <c r="X476" s="35"/>
    </row>
    <row r="477" customFormat="false" ht="54.75" hidden="false" customHeight="true" outlineLevel="0" collapsed="false">
      <c r="A477" s="28"/>
      <c r="B477" s="29" t="str">
        <f aca="true">IF(C477&lt;&gt;"",TODAY(),"")</f>
        <v/>
      </c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1"/>
      <c r="O477" s="39"/>
      <c r="P477" s="30"/>
      <c r="Q477" s="30"/>
      <c r="R477" s="30"/>
      <c r="S477" s="30"/>
      <c r="T477" s="30"/>
      <c r="U477" s="30"/>
      <c r="V477" s="30"/>
      <c r="W477" s="30"/>
      <c r="X477" s="30"/>
    </row>
    <row r="478" customFormat="false" ht="54.75" hidden="false" customHeight="true" outlineLevel="0" collapsed="false">
      <c r="A478" s="33"/>
      <c r="B478" s="34" t="str">
        <f aca="true">IF(C478&lt;&gt;"",TODAY(),"")</f>
        <v/>
      </c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6"/>
      <c r="O478" s="38"/>
      <c r="P478" s="35"/>
      <c r="Q478" s="35"/>
      <c r="R478" s="35"/>
      <c r="S478" s="35"/>
      <c r="T478" s="35"/>
      <c r="U478" s="35"/>
      <c r="V478" s="35"/>
      <c r="W478" s="35"/>
      <c r="X478" s="35"/>
    </row>
    <row r="479" customFormat="false" ht="54.75" hidden="false" customHeight="true" outlineLevel="0" collapsed="false">
      <c r="A479" s="28"/>
      <c r="B479" s="29" t="str">
        <f aca="true">IF(C479&lt;&gt;"",TODAY(),"")</f>
        <v/>
      </c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1"/>
      <c r="O479" s="39"/>
      <c r="P479" s="30"/>
      <c r="Q479" s="30"/>
      <c r="R479" s="30"/>
      <c r="S479" s="30"/>
      <c r="T479" s="30"/>
      <c r="U479" s="30"/>
      <c r="V479" s="30"/>
      <c r="W479" s="30"/>
      <c r="X479" s="30"/>
    </row>
    <row r="480" customFormat="false" ht="54.75" hidden="false" customHeight="true" outlineLevel="0" collapsed="false">
      <c r="A480" s="33"/>
      <c r="B480" s="34" t="str">
        <f aca="true">IF(C480&lt;&gt;"",TODAY(),"")</f>
        <v/>
      </c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6"/>
      <c r="O480" s="38"/>
      <c r="P480" s="35"/>
      <c r="Q480" s="35"/>
      <c r="R480" s="35"/>
      <c r="S480" s="35"/>
      <c r="T480" s="35"/>
      <c r="U480" s="35"/>
      <c r="V480" s="35"/>
      <c r="W480" s="35"/>
      <c r="X480" s="35"/>
    </row>
    <row r="481" customFormat="false" ht="54.75" hidden="false" customHeight="true" outlineLevel="0" collapsed="false">
      <c r="A481" s="28"/>
      <c r="B481" s="29" t="str">
        <f aca="true">IF(C481&lt;&gt;"",TODAY(),"")</f>
        <v/>
      </c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1"/>
      <c r="O481" s="39"/>
      <c r="P481" s="30"/>
      <c r="Q481" s="30"/>
      <c r="R481" s="30"/>
      <c r="S481" s="30"/>
      <c r="T481" s="30"/>
      <c r="U481" s="30"/>
      <c r="V481" s="30"/>
      <c r="W481" s="30"/>
      <c r="X481" s="30"/>
    </row>
    <row r="482" customFormat="false" ht="54.75" hidden="false" customHeight="true" outlineLevel="0" collapsed="false">
      <c r="A482" s="33"/>
      <c r="B482" s="34" t="str">
        <f aca="true">IF(C482&lt;&gt;"",TODAY(),"")</f>
        <v/>
      </c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6"/>
      <c r="O482" s="38"/>
      <c r="P482" s="35"/>
      <c r="Q482" s="35"/>
      <c r="R482" s="35"/>
      <c r="S482" s="35"/>
      <c r="T482" s="35"/>
      <c r="U482" s="35"/>
      <c r="V482" s="35"/>
      <c r="W482" s="35"/>
      <c r="X482" s="35"/>
    </row>
    <row r="483" customFormat="false" ht="54.75" hidden="false" customHeight="true" outlineLevel="0" collapsed="false">
      <c r="A483" s="28"/>
      <c r="B483" s="29" t="str">
        <f aca="true">IF(C483&lt;&gt;"",TODAY(),"")</f>
        <v/>
      </c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1"/>
      <c r="O483" s="39"/>
      <c r="P483" s="30"/>
      <c r="Q483" s="30"/>
      <c r="R483" s="30"/>
      <c r="S483" s="30"/>
      <c r="T483" s="30"/>
      <c r="U483" s="30"/>
      <c r="V483" s="30"/>
      <c r="W483" s="30"/>
      <c r="X483" s="30"/>
    </row>
    <row r="484" customFormat="false" ht="54.75" hidden="false" customHeight="true" outlineLevel="0" collapsed="false">
      <c r="A484" s="33"/>
      <c r="B484" s="34" t="str">
        <f aca="true">IF(C484&lt;&gt;"",TODAY(),"")</f>
        <v/>
      </c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6"/>
      <c r="O484" s="38"/>
      <c r="P484" s="35"/>
      <c r="Q484" s="35"/>
      <c r="R484" s="35"/>
      <c r="S484" s="35"/>
      <c r="T484" s="35"/>
      <c r="U484" s="35"/>
      <c r="V484" s="35"/>
      <c r="W484" s="35"/>
      <c r="X484" s="35"/>
    </row>
    <row r="485" customFormat="false" ht="54.75" hidden="false" customHeight="true" outlineLevel="0" collapsed="false">
      <c r="A485" s="28"/>
      <c r="B485" s="29" t="str">
        <f aca="true">IF(C485&lt;&gt;"",TODAY(),"")</f>
        <v/>
      </c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1"/>
      <c r="O485" s="39"/>
      <c r="P485" s="30"/>
      <c r="Q485" s="30"/>
      <c r="R485" s="30"/>
      <c r="S485" s="30"/>
      <c r="T485" s="30"/>
      <c r="U485" s="30"/>
      <c r="V485" s="30"/>
      <c r="W485" s="30"/>
      <c r="X485" s="30"/>
    </row>
    <row r="486" customFormat="false" ht="54.75" hidden="false" customHeight="true" outlineLevel="0" collapsed="false">
      <c r="A486" s="33"/>
      <c r="B486" s="34" t="str">
        <f aca="true">IF(C486&lt;&gt;"",TODAY(),"")</f>
        <v/>
      </c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6"/>
      <c r="O486" s="38"/>
      <c r="P486" s="35"/>
      <c r="Q486" s="35"/>
      <c r="R486" s="35"/>
      <c r="S486" s="35"/>
      <c r="T486" s="35"/>
      <c r="U486" s="35"/>
      <c r="V486" s="35"/>
      <c r="W486" s="35"/>
      <c r="X486" s="35"/>
    </row>
    <row r="487" customFormat="false" ht="54.75" hidden="false" customHeight="true" outlineLevel="0" collapsed="false">
      <c r="A487" s="28"/>
      <c r="B487" s="29" t="str">
        <f aca="true">IF(C487&lt;&gt;"",TODAY(),"")</f>
        <v/>
      </c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1"/>
      <c r="O487" s="39"/>
      <c r="P487" s="30"/>
      <c r="Q487" s="30"/>
      <c r="R487" s="30"/>
      <c r="S487" s="30"/>
      <c r="T487" s="30"/>
      <c r="U487" s="30"/>
      <c r="V487" s="30"/>
      <c r="W487" s="30"/>
      <c r="X487" s="30"/>
    </row>
    <row r="488" customFormat="false" ht="54.75" hidden="false" customHeight="true" outlineLevel="0" collapsed="false">
      <c r="A488" s="33"/>
      <c r="B488" s="34" t="str">
        <f aca="true">IF(C488&lt;&gt;"",TODAY(),"")</f>
        <v/>
      </c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6"/>
      <c r="O488" s="38"/>
      <c r="P488" s="35"/>
      <c r="Q488" s="35"/>
      <c r="R488" s="35"/>
      <c r="S488" s="35"/>
      <c r="T488" s="35"/>
      <c r="U488" s="35"/>
      <c r="V488" s="35"/>
      <c r="W488" s="35"/>
      <c r="X488" s="35"/>
    </row>
    <row r="489" customFormat="false" ht="54.75" hidden="false" customHeight="true" outlineLevel="0" collapsed="false">
      <c r="A489" s="28"/>
      <c r="B489" s="29" t="str">
        <f aca="true">IF(C489&lt;&gt;"",TODAY(),"")</f>
        <v/>
      </c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1"/>
      <c r="O489" s="39"/>
      <c r="P489" s="30"/>
      <c r="Q489" s="30"/>
      <c r="R489" s="30"/>
      <c r="S489" s="30"/>
      <c r="T489" s="30"/>
      <c r="U489" s="30"/>
      <c r="V489" s="30"/>
      <c r="W489" s="30"/>
      <c r="X489" s="30"/>
    </row>
    <row r="490" customFormat="false" ht="54.75" hidden="false" customHeight="true" outlineLevel="0" collapsed="false">
      <c r="A490" s="33"/>
      <c r="B490" s="34" t="str">
        <f aca="true">IF(C490&lt;&gt;"",TODAY(),"")</f>
        <v/>
      </c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6"/>
      <c r="O490" s="38"/>
      <c r="P490" s="35"/>
      <c r="Q490" s="35"/>
      <c r="R490" s="35"/>
      <c r="S490" s="35"/>
      <c r="T490" s="35"/>
      <c r="U490" s="35"/>
      <c r="V490" s="35"/>
      <c r="W490" s="35"/>
      <c r="X490" s="35"/>
    </row>
    <row r="491" customFormat="false" ht="54.75" hidden="false" customHeight="true" outlineLevel="0" collapsed="false">
      <c r="A491" s="28"/>
      <c r="B491" s="29" t="str">
        <f aca="true">IF(C491&lt;&gt;"",TODAY(),"")</f>
        <v/>
      </c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1"/>
      <c r="O491" s="39"/>
      <c r="P491" s="30"/>
      <c r="Q491" s="30"/>
      <c r="R491" s="30"/>
      <c r="S491" s="30"/>
      <c r="T491" s="30"/>
      <c r="U491" s="30"/>
      <c r="V491" s="30"/>
      <c r="W491" s="30"/>
      <c r="X491" s="30"/>
    </row>
    <row r="492" customFormat="false" ht="54.75" hidden="false" customHeight="true" outlineLevel="0" collapsed="false">
      <c r="A492" s="33"/>
      <c r="B492" s="34" t="str">
        <f aca="true">IF(C492&lt;&gt;"",TODAY(),"")</f>
        <v/>
      </c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6"/>
      <c r="O492" s="38"/>
      <c r="P492" s="35"/>
      <c r="Q492" s="35"/>
      <c r="R492" s="35"/>
      <c r="S492" s="35"/>
      <c r="T492" s="35"/>
      <c r="U492" s="35"/>
      <c r="V492" s="35"/>
      <c r="W492" s="35"/>
      <c r="X492" s="35"/>
    </row>
    <row r="493" customFormat="false" ht="54.75" hidden="false" customHeight="true" outlineLevel="0" collapsed="false">
      <c r="A493" s="28"/>
      <c r="B493" s="29" t="str">
        <f aca="true">IF(C493&lt;&gt;"",TODAY(),"")</f>
        <v/>
      </c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1"/>
      <c r="O493" s="39"/>
      <c r="P493" s="30"/>
      <c r="Q493" s="30"/>
      <c r="R493" s="30"/>
      <c r="S493" s="30"/>
      <c r="T493" s="30"/>
      <c r="U493" s="30"/>
      <c r="V493" s="30"/>
      <c r="W493" s="30"/>
      <c r="X493" s="30"/>
    </row>
    <row r="494" customFormat="false" ht="54.75" hidden="false" customHeight="true" outlineLevel="0" collapsed="false">
      <c r="A494" s="33"/>
      <c r="B494" s="34" t="str">
        <f aca="true">IF(C494&lt;&gt;"",TODAY(),"")</f>
        <v/>
      </c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6"/>
      <c r="O494" s="38"/>
      <c r="P494" s="35"/>
      <c r="Q494" s="35"/>
      <c r="R494" s="35"/>
      <c r="S494" s="35"/>
      <c r="T494" s="35"/>
      <c r="U494" s="35"/>
      <c r="V494" s="35"/>
      <c r="W494" s="35"/>
      <c r="X494" s="35"/>
    </row>
    <row r="495" customFormat="false" ht="54.75" hidden="false" customHeight="true" outlineLevel="0" collapsed="false">
      <c r="A495" s="28"/>
      <c r="B495" s="29" t="str">
        <f aca="true">IF(C495&lt;&gt;"",TODAY(),"")</f>
        <v/>
      </c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1"/>
      <c r="O495" s="39"/>
      <c r="P495" s="30"/>
      <c r="Q495" s="30"/>
      <c r="R495" s="30"/>
      <c r="S495" s="30"/>
      <c r="T495" s="30"/>
      <c r="U495" s="30"/>
      <c r="V495" s="30"/>
      <c r="W495" s="30"/>
      <c r="X495" s="30"/>
    </row>
    <row r="496" customFormat="false" ht="54.75" hidden="false" customHeight="true" outlineLevel="0" collapsed="false">
      <c r="A496" s="33"/>
      <c r="B496" s="34" t="str">
        <f aca="true">IF(C496&lt;&gt;"",TODAY(),"")</f>
        <v/>
      </c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6"/>
      <c r="O496" s="38"/>
      <c r="P496" s="35"/>
      <c r="Q496" s="35"/>
      <c r="R496" s="35"/>
      <c r="S496" s="35"/>
      <c r="T496" s="35"/>
      <c r="U496" s="35"/>
      <c r="V496" s="35"/>
      <c r="W496" s="35"/>
      <c r="X496" s="35"/>
    </row>
    <row r="497" customFormat="false" ht="54.75" hidden="false" customHeight="true" outlineLevel="0" collapsed="false">
      <c r="A497" s="28"/>
      <c r="B497" s="29" t="str">
        <f aca="true">IF(C497&lt;&gt;"",TODAY(),"")</f>
        <v/>
      </c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1"/>
      <c r="O497" s="39"/>
      <c r="P497" s="30"/>
      <c r="Q497" s="30"/>
      <c r="R497" s="30"/>
      <c r="S497" s="30"/>
      <c r="T497" s="30"/>
      <c r="U497" s="30"/>
      <c r="V497" s="30"/>
      <c r="W497" s="30"/>
      <c r="X497" s="30"/>
    </row>
    <row r="498" customFormat="false" ht="54.75" hidden="false" customHeight="true" outlineLevel="0" collapsed="false">
      <c r="A498" s="33"/>
      <c r="B498" s="34" t="str">
        <f aca="true">IF(C498&lt;&gt;"",TODAY(),"")</f>
        <v/>
      </c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6"/>
      <c r="O498" s="38"/>
      <c r="P498" s="35"/>
      <c r="Q498" s="35"/>
      <c r="R498" s="35"/>
      <c r="S498" s="35"/>
      <c r="T498" s="35"/>
      <c r="U498" s="35"/>
      <c r="V498" s="35"/>
      <c r="W498" s="35"/>
      <c r="X498" s="35"/>
    </row>
    <row r="499" customFormat="false" ht="54.75" hidden="false" customHeight="true" outlineLevel="0" collapsed="false">
      <c r="A499" s="28"/>
      <c r="B499" s="29" t="str">
        <f aca="true">IF(C499&lt;&gt;"",TODAY(),"")</f>
        <v/>
      </c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1"/>
      <c r="O499" s="39"/>
      <c r="P499" s="30"/>
      <c r="Q499" s="30"/>
      <c r="R499" s="30"/>
      <c r="S499" s="30"/>
      <c r="T499" s="30"/>
      <c r="U499" s="30"/>
      <c r="V499" s="30"/>
      <c r="W499" s="30"/>
      <c r="X499" s="30"/>
    </row>
    <row r="500" customFormat="false" ht="54.75" hidden="false" customHeight="true" outlineLevel="0" collapsed="false">
      <c r="A500" s="33"/>
      <c r="B500" s="34" t="str">
        <f aca="true">IF(C500&lt;&gt;"",TODAY(),"")</f>
        <v/>
      </c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6"/>
      <c r="O500" s="38"/>
      <c r="P500" s="35"/>
      <c r="Q500" s="35"/>
      <c r="R500" s="35"/>
      <c r="S500" s="35"/>
      <c r="T500" s="35"/>
      <c r="U500" s="35"/>
      <c r="V500" s="35"/>
      <c r="W500" s="35"/>
      <c r="X500" s="35"/>
    </row>
    <row r="501" customFormat="false" ht="54.75" hidden="false" customHeight="true" outlineLevel="0" collapsed="false">
      <c r="A501" s="28"/>
      <c r="B501" s="29" t="str">
        <f aca="true">IF(C501&lt;&gt;"",TODAY(),"")</f>
        <v/>
      </c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1"/>
      <c r="O501" s="39"/>
      <c r="P501" s="30"/>
      <c r="Q501" s="30"/>
      <c r="R501" s="30"/>
      <c r="S501" s="30"/>
      <c r="T501" s="30"/>
      <c r="U501" s="30"/>
      <c r="V501" s="30"/>
      <c r="W501" s="30"/>
      <c r="X501" s="30"/>
    </row>
    <row r="502" customFormat="false" ht="54.75" hidden="false" customHeight="true" outlineLevel="0" collapsed="false">
      <c r="A502" s="33"/>
      <c r="B502" s="34" t="str">
        <f aca="true">IF(C502&lt;&gt;"",TODAY(),"")</f>
        <v/>
      </c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6"/>
      <c r="O502" s="38"/>
      <c r="P502" s="35"/>
      <c r="Q502" s="35"/>
      <c r="R502" s="35"/>
      <c r="S502" s="35"/>
      <c r="T502" s="35"/>
      <c r="U502" s="35"/>
      <c r="V502" s="35"/>
      <c r="W502" s="35"/>
      <c r="X502" s="35"/>
    </row>
  </sheetData>
  <mergeCells count="5">
    <mergeCell ref="A1:D1"/>
    <mergeCell ref="E1:H1"/>
    <mergeCell ref="I1:M1"/>
    <mergeCell ref="O1:P1"/>
    <mergeCell ref="Q1:X1"/>
  </mergeCells>
  <dataValidations count="12">
    <dataValidation allowBlank="true" errorStyle="stop" operator="between" showDropDown="false" showErrorMessage="false" showInputMessage="false" sqref="G3:G502" type="list">
      <formula1>"Link,Email,Form,Referral"</formula1>
      <formula2>0</formula2>
    </dataValidation>
    <dataValidation allowBlank="true" errorStyle="stop" operator="between" showDropDown="false" showErrorMessage="false" showInputMessage="false" sqref="J3:J500" type="list">
      <formula1>"Remote,Onsite,Hybrid,Part-time,Internship"</formula1>
      <formula2>0</formula2>
    </dataValidation>
    <dataValidation allowBlank="true" errorStyle="stop" operator="between" showDropDown="false" showErrorMessage="false" showInputMessage="false" sqref="T3:T500" type="list">
      <formula1>"Applied,Pending,Interview Scheduled,Rejected,Offer Received,Ghosted,Withdrawn"</formula1>
      <formula2>0</formula2>
    </dataValidation>
    <dataValidation allowBlank="true" errorStyle="stop" operator="between" showDropDown="false" showErrorMessage="false" showInputMessage="false" sqref="U3:U500" type="list">
      <formula1>"Yes,No,Pending"</formula1>
      <formula2>0</formula2>
    </dataValidation>
    <dataValidation allowBlank="true" errorStyle="stop" operator="between" showDropDown="false" showErrorMessage="false" showInputMessage="false" sqref="H3:H502" type="list">
      <formula1>"Remote,Onsite,Hybrid,Part-time,Internship"</formula1>
      <formula2>0</formula2>
    </dataValidation>
    <dataValidation allowBlank="true" errorStyle="stop" operator="between" showDropDown="false" showErrorMessage="false" showInputMessage="false" sqref="O3:O502" type="list">
      <formula1>"Applied,Pending,Interview Scheduled,Rejected,Offer Received,Ghosted,Withdrawn"</formula1>
      <formula2>0</formula2>
    </dataValidation>
    <dataValidation allowBlank="true" errorStyle="stop" operator="between" showDropDown="false" showErrorMessage="false" showInputMessage="false" sqref="P3:P502" type="list">
      <formula1>"Yes,No,Pending"</formula1>
      <formula2>0</formula2>
    </dataValidation>
    <dataValidation allowBlank="true" errorStyle="stop" operator="between" showDropDown="false" showErrorMessage="false" showInputMessage="false" sqref="E3:E502" type="list">
      <formula1>"Full-Time,Part-Time,Internship,Contract,Freelance"</formula1>
      <formula2>0</formula2>
    </dataValidation>
    <dataValidation allowBlank="true" errorStyle="stop" operator="between" showDropDown="false" showErrorMessage="false" showInputMessage="false" sqref="F3:F502" type="list">
      <formula1>"LinkedIn,BDJobs,Facebook,Direct,Email,Referral,Other"</formula1>
      <formula2>0</formula2>
    </dataValidation>
    <dataValidation allowBlank="true" errorStyle="stop" operator="between" showDropDown="false" showErrorMessage="false" showInputMessage="false" sqref="I3:I502" type="list">
      <formula1>"Remote,Onsite,Hybrid,Part-Time,Internship"</formula1>
      <formula2>0</formula2>
    </dataValidation>
    <dataValidation allowBlank="true" errorStyle="stop" operator="between" showDropDown="false" showErrorMessage="false" showInputMessage="false" sqref="Q3:Q502" type="list">
      <formula1>"Applied,Pending,Interview Scheduled,Rejected,Offer Received,Ghosted,Withdrawn"</formula1>
      <formula2>0</formula2>
    </dataValidation>
    <dataValidation allowBlank="true" errorStyle="stop" operator="between" showDropDown="false" showErrorMessage="false" showInputMessage="false" sqref="R3:R502" type="list">
      <formula1>"Yes,No,Pending"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20" width="12"/>
    <col collapsed="false" customWidth="true" hidden="false" outlineLevel="0" max="5" min="5" style="20" width="14"/>
    <col collapsed="false" customWidth="true" hidden="false" outlineLevel="0" max="6" min="6" style="20" width="12"/>
    <col collapsed="false" customWidth="true" hidden="false" outlineLevel="0" max="7" min="7" style="20" width="18"/>
    <col collapsed="false" customWidth="true" hidden="false" outlineLevel="0" max="8" min="8" style="20" width="12"/>
    <col collapsed="false" customWidth="true" hidden="false" outlineLevel="0" max="10" min="9" style="20" width="18"/>
  </cols>
  <sheetData>
    <row r="1" customFormat="false" ht="31.5" hidden="false" customHeight="true" outlineLevel="0" collapsed="false">
      <c r="A1" s="40" t="s">
        <v>99</v>
      </c>
      <c r="B1" s="40"/>
      <c r="C1" s="40"/>
      <c r="D1" s="40"/>
      <c r="E1" s="40"/>
      <c r="F1" s="40"/>
      <c r="G1" s="40"/>
      <c r="H1" s="40"/>
      <c r="I1" s="40"/>
      <c r="J1" s="40"/>
    </row>
    <row r="2" customFormat="false" ht="18" hidden="false" customHeight="true" outlineLevel="0" collapsed="false"/>
    <row r="3" customFormat="false" ht="25.5" hidden="false" customHeight="true" outlineLevel="0" collapsed="false">
      <c r="A3" s="41" t="s">
        <v>100</v>
      </c>
      <c r="B3" s="42" t="s">
        <v>101</v>
      </c>
      <c r="C3" s="43" t="s">
        <v>102</v>
      </c>
      <c r="D3" s="44" t="s">
        <v>103</v>
      </c>
      <c r="E3" s="45" t="s">
        <v>104</v>
      </c>
      <c r="F3" s="46" t="s">
        <v>105</v>
      </c>
      <c r="G3" s="43" t="s">
        <v>106</v>
      </c>
      <c r="H3" s="42" t="s">
        <v>107</v>
      </c>
      <c r="I3" s="47" t="s">
        <v>108</v>
      </c>
      <c r="J3" s="42" t="s">
        <v>109</v>
      </c>
    </row>
    <row r="4" customFormat="false" ht="42" hidden="false" customHeight="true" outlineLevel="0" collapsed="false">
      <c r="A4" s="48" t="n">
        <f aca="false">COUNTA(Applications!C3:C502)</f>
        <v>3</v>
      </c>
      <c r="B4" s="49" t="n">
        <f aca="false">COUNTIF(Applications!O3:O502,"&gt;=80")</f>
        <v>2</v>
      </c>
      <c r="C4" s="50" t="n">
        <f aca="false">COUNTIF(Applications!R3:R502,"Yes")</f>
        <v>0</v>
      </c>
      <c r="D4" s="51" t="n">
        <f aca="false">COUNTIF(Applications!Q3:Q502,"Interview Scheduled")</f>
        <v>0</v>
      </c>
      <c r="E4" s="52" t="n">
        <f aca="false">COUNTIF(Applications!Q3:Q502,"Offer Received")</f>
        <v>0</v>
      </c>
      <c r="F4" s="53" t="n">
        <f aca="false">COUNTIF(Applications!Q3:Q502,"Ghosted")</f>
        <v>0</v>
      </c>
      <c r="G4" s="50" t="n">
        <f aca="false">IFERROR(ROUND(AVERAGEIF(Applications!O3:O502,"&lt;&gt;",Applications!O3:O502),1),"-")</f>
        <v>81.7</v>
      </c>
      <c r="H4" s="49" t="str">
        <f aca="false">IFERROR(TEXT(COUNTIF(Applications!R3:R502,"Yes")/COUNTA(Applications!C3:C502),"0%"),"-")</f>
        <v>0%</v>
      </c>
      <c r="I4" s="54" t="n">
        <f aca="true">COUNTIFS(Applications!B3:B502,"&gt;="&amp;(TODAY()-7),Applications!B3:B502,"&lt;="&amp;TODAY())</f>
        <v>0</v>
      </c>
      <c r="J4" s="55" t="str">
        <f aca="true">IFERROR(TEXT(COUNTIFS(Applications!B3:B502,"&gt;="&amp;(TODAY()-7),Applications!B3:B502,"&lt;="&amp;TODAY(),Applications!R3:R502,"Yes")/COUNTIFS(Applications!B3:B502,"&gt;="&amp;(TODAY()-7),Applications!B3:B502,"&lt;="&amp;TODAY()),"0%"),"-")</f>
        <v>-</v>
      </c>
    </row>
    <row r="5" customFormat="false" ht="18" hidden="false" customHeight="true" outlineLevel="0" collapsed="false"/>
    <row r="7" customFormat="false" ht="21.75" hidden="false" customHeight="true" outlineLevel="0" collapsed="false">
      <c r="A7" s="56" t="s">
        <v>110</v>
      </c>
      <c r="B7" s="56"/>
      <c r="C7" s="56"/>
      <c r="D7" s="56"/>
      <c r="F7" s="57" t="s">
        <v>111</v>
      </c>
      <c r="G7" s="57"/>
      <c r="H7" s="57"/>
    </row>
    <row r="8" customFormat="false" ht="15" hidden="false" customHeight="true" outlineLevel="0" collapsed="false">
      <c r="A8" s="58" t="s">
        <v>49</v>
      </c>
      <c r="B8" s="58" t="s">
        <v>112</v>
      </c>
      <c r="C8" s="58" t="s">
        <v>113</v>
      </c>
      <c r="D8" s="58" t="s">
        <v>114</v>
      </c>
      <c r="F8" s="58" t="s">
        <v>115</v>
      </c>
      <c r="G8" s="58" t="s">
        <v>112</v>
      </c>
      <c r="H8" s="58" t="s">
        <v>113</v>
      </c>
    </row>
    <row r="9" customFormat="false" ht="18" hidden="false" customHeight="true" outlineLevel="0" collapsed="false">
      <c r="A9" s="59" t="s">
        <v>71</v>
      </c>
      <c r="B9" s="60" t="n">
        <f aca="false">COUNTIF(Applications!F3:F502,"LinkedIn")</f>
        <v>2</v>
      </c>
      <c r="C9" s="60" t="str">
        <f aca="false">IFERROR(TEXT(B9/COUNTA(Applications!C3:C502),"0%"),"-")</f>
        <v>67%</v>
      </c>
      <c r="D9" s="60" t="n">
        <f aca="false">IFERROR(ROUND(AVERAGEIF(Applications!F3:F502,"LinkedIn",Applications!O3:O502),1),"-")</f>
        <v>78.5</v>
      </c>
      <c r="F9" s="59" t="s">
        <v>80</v>
      </c>
      <c r="G9" s="60" t="n">
        <f aca="false">COUNTIF(Applications!Q3:Q502,"Applied")</f>
        <v>3</v>
      </c>
      <c r="H9" s="60" t="str">
        <f aca="false">IFERROR(TEXT(G9/COUNTA(Applications!C3:C502),"0%"),"-")</f>
        <v>100%</v>
      </c>
    </row>
    <row r="10" customFormat="false" ht="18" hidden="false" customHeight="true" outlineLevel="0" collapsed="false">
      <c r="A10" s="59" t="s">
        <v>116</v>
      </c>
      <c r="B10" s="60" t="n">
        <f aca="false">COUNTIF(Applications!F3:F502,"BDJobs")</f>
        <v>0</v>
      </c>
      <c r="C10" s="60" t="str">
        <f aca="false">IFERROR(TEXT(B10/COUNTA(Applications!C3:C502),"0%"),"-")</f>
        <v>0%</v>
      </c>
      <c r="D10" s="60" t="str">
        <f aca="false">IFERROR(ROUND(AVERAGEIF(Applications!F3:F502,"BDJobs",Applications!O3:O502),1),"-")</f>
        <v>-</v>
      </c>
      <c r="F10" s="59" t="s">
        <v>117</v>
      </c>
      <c r="G10" s="60" t="n">
        <f aca="false">COUNTIF(Applications!Q3:Q502,"Pending")</f>
        <v>0</v>
      </c>
      <c r="H10" s="60" t="str">
        <f aca="false">IFERROR(TEXT(G10/COUNTA(Applications!C3:C502),"0%"),"-")</f>
        <v>0%</v>
      </c>
    </row>
    <row r="11" customFormat="false" ht="18" hidden="false" customHeight="true" outlineLevel="0" collapsed="false">
      <c r="A11" s="59" t="s">
        <v>118</v>
      </c>
      <c r="B11" s="60" t="n">
        <f aca="false">COUNTIF(Applications!F3:F502,"Facebook")</f>
        <v>0</v>
      </c>
      <c r="C11" s="60" t="str">
        <f aca="false">IFERROR(TEXT(B11/COUNTA(Applications!C3:C502),"0%"),"-")</f>
        <v>0%</v>
      </c>
      <c r="D11" s="60" t="str">
        <f aca="false">IFERROR(ROUND(AVERAGEIF(Applications!F3:F502,"Facebook",Applications!O3:O502),1),"-")</f>
        <v>-</v>
      </c>
      <c r="F11" s="59" t="s">
        <v>103</v>
      </c>
      <c r="G11" s="60" t="n">
        <f aca="false">COUNTIF(Applications!Q3:Q502,"Interview Scheduled")</f>
        <v>0</v>
      </c>
      <c r="H11" s="60" t="str">
        <f aca="false">IFERROR(TEXT(G11/COUNTA(Applications!C3:C502),"0%"),"-")</f>
        <v>0%</v>
      </c>
    </row>
    <row r="12" customFormat="false" ht="18" hidden="false" customHeight="true" outlineLevel="0" collapsed="false">
      <c r="A12" s="59" t="s">
        <v>85</v>
      </c>
      <c r="B12" s="60" t="n">
        <f aca="false">COUNTIF(Applications!F3:F502,"Direct")</f>
        <v>1</v>
      </c>
      <c r="C12" s="60" t="str">
        <f aca="false">IFERROR(TEXT(B12/COUNTA(Applications!C3:C502),"0%"),"-")</f>
        <v>33%</v>
      </c>
      <c r="D12" s="60" t="n">
        <f aca="false">IFERROR(ROUND(AVERAGEIF(Applications!F3:F502,"Direct",Applications!O3:O502),1),"-")</f>
        <v>88</v>
      </c>
      <c r="F12" s="59" t="s">
        <v>119</v>
      </c>
      <c r="G12" s="60" t="n">
        <f aca="false">COUNTIF(Applications!Q3:Q502,"Rejected")</f>
        <v>0</v>
      </c>
      <c r="H12" s="60" t="str">
        <f aca="false">IFERROR(TEXT(G12/COUNTA(Applications!C3:C502),"0%"),"-")</f>
        <v>0%</v>
      </c>
    </row>
    <row r="13" customFormat="false" ht="18" hidden="false" customHeight="true" outlineLevel="0" collapsed="false">
      <c r="A13" s="59" t="s">
        <v>120</v>
      </c>
      <c r="B13" s="60" t="n">
        <f aca="false">COUNTIF(Applications!F3:F502,"Email")</f>
        <v>0</v>
      </c>
      <c r="C13" s="60" t="str">
        <f aca="false">IFERROR(TEXT(B13/COUNTA(Applications!C3:C502),"0%"),"-")</f>
        <v>0%</v>
      </c>
      <c r="D13" s="60" t="str">
        <f aca="false">IFERROR(ROUND(AVERAGEIF(Applications!F3:F502,"Email",Applications!O3:O502),1),"-")</f>
        <v>-</v>
      </c>
      <c r="F13" s="59" t="s">
        <v>104</v>
      </c>
      <c r="G13" s="60" t="n">
        <f aca="false">COUNTIF(Applications!Q3:Q502,"Offer Received")</f>
        <v>0</v>
      </c>
      <c r="H13" s="60" t="str">
        <f aca="false">IFERROR(TEXT(G13/COUNTA(Applications!C3:C502),"0%"),"-")</f>
        <v>0%</v>
      </c>
    </row>
    <row r="14" customFormat="false" ht="18" hidden="false" customHeight="true" outlineLevel="0" collapsed="false">
      <c r="A14" s="59" t="s">
        <v>121</v>
      </c>
      <c r="B14" s="60" t="n">
        <f aca="false">COUNTIF(Applications!F3:F502,"Referral")</f>
        <v>0</v>
      </c>
      <c r="C14" s="60" t="str">
        <f aca="false">IFERROR(TEXT(B14/COUNTA(Applications!C3:C502),"0%"),"-")</f>
        <v>0%</v>
      </c>
      <c r="D14" s="60" t="str">
        <f aca="false">IFERROR(ROUND(AVERAGEIF(Applications!F3:F502,"Referral",Applications!O3:O502),1),"-")</f>
        <v>-</v>
      </c>
      <c r="F14" s="59" t="s">
        <v>105</v>
      </c>
      <c r="G14" s="60" t="n">
        <f aca="false">COUNTIF(Applications!Q3:Q502,"Ghosted")</f>
        <v>0</v>
      </c>
      <c r="H14" s="60" t="str">
        <f aca="false">IFERROR(TEXT(G14/COUNTA(Applications!C3:C502),"0%"),"-")</f>
        <v>0%</v>
      </c>
    </row>
    <row r="15" customFormat="false" ht="18" hidden="false" customHeight="true" outlineLevel="0" collapsed="false">
      <c r="A15" s="59" t="s">
        <v>122</v>
      </c>
      <c r="B15" s="60" t="n">
        <f aca="false">COUNTIF(Applications!F3:F502,"Other")</f>
        <v>0</v>
      </c>
      <c r="C15" s="60" t="str">
        <f aca="false">IFERROR(TEXT(B15/COUNTA(Applications!C3:C502),"0%"),"-")</f>
        <v>0%</v>
      </c>
      <c r="D15" s="60" t="str">
        <f aca="false">IFERROR(ROUND(AVERAGEIF(Applications!F3:F502,"Other",Applications!O3:O502),1),"-")</f>
        <v>-</v>
      </c>
      <c r="F15" s="59" t="s">
        <v>123</v>
      </c>
      <c r="G15" s="60" t="n">
        <f aca="false">COUNTIF(Applications!Q3:Q502,"Withdrawn")</f>
        <v>0</v>
      </c>
      <c r="H15" s="60" t="str">
        <f aca="false">IFERROR(TEXT(G15/COUNTA(Applications!C3:C502),"0%"),"-")</f>
        <v>0%</v>
      </c>
    </row>
    <row r="18" customFormat="false" ht="7.5" hidden="false" customHeight="true" outlineLevel="0" collapsed="false"/>
    <row r="20" customFormat="false" ht="21.75" hidden="false" customHeight="true" outlineLevel="0" collapsed="false">
      <c r="A20" s="61" t="s">
        <v>124</v>
      </c>
      <c r="B20" s="61"/>
      <c r="C20" s="61"/>
      <c r="D20" s="61"/>
      <c r="E20" s="61"/>
      <c r="F20" s="61"/>
      <c r="G20" s="61"/>
      <c r="H20" s="61"/>
    </row>
    <row r="21" customFormat="false" ht="19.5" hidden="false" customHeight="true" outlineLevel="0" collapsed="false">
      <c r="A21" s="62" t="s">
        <v>125</v>
      </c>
      <c r="B21" s="62" t="s">
        <v>126</v>
      </c>
      <c r="C21" s="62" t="s">
        <v>47</v>
      </c>
      <c r="D21" s="62" t="s">
        <v>127</v>
      </c>
      <c r="E21" s="62" t="s">
        <v>49</v>
      </c>
      <c r="F21" s="62" t="s">
        <v>128</v>
      </c>
      <c r="G21" s="62" t="s">
        <v>115</v>
      </c>
      <c r="H21" s="62" t="s">
        <v>61</v>
      </c>
    </row>
    <row r="22" customFormat="false" ht="30" hidden="false" customHeight="true" outlineLevel="0" collapsed="false">
      <c r="A22" s="63" t="s">
        <v>129</v>
      </c>
      <c r="B22" s="63"/>
      <c r="C22" s="63"/>
      <c r="D22" s="63"/>
      <c r="E22" s="63"/>
      <c r="F22" s="63"/>
      <c r="G22" s="63"/>
      <c r="H22" s="63"/>
    </row>
    <row r="26" customFormat="false" ht="21.75" hidden="false" customHeight="true" outlineLevel="0" collapsed="false">
      <c r="A26" s="64" t="s">
        <v>130</v>
      </c>
      <c r="B26" s="64"/>
      <c r="C26" s="64"/>
      <c r="D26" s="64"/>
      <c r="E26" s="64"/>
      <c r="F26" s="64"/>
      <c r="G26" s="64"/>
      <c r="H26" s="64"/>
      <c r="I26" s="64"/>
      <c r="J26" s="64"/>
    </row>
  </sheetData>
  <mergeCells count="6">
    <mergeCell ref="A1:J1"/>
    <mergeCell ref="A7:D7"/>
    <mergeCell ref="F7:H7"/>
    <mergeCell ref="A20:H20"/>
    <mergeCell ref="A22:H22"/>
    <mergeCell ref="A26:J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0" width="25"/>
    <col collapsed="false" customWidth="true" hidden="false" outlineLevel="0" max="2" min="2" style="20" width="70"/>
    <col collapsed="false" customWidth="true" hidden="false" outlineLevel="0" max="3" min="3" style="20" width="30"/>
  </cols>
  <sheetData>
    <row r="1" customFormat="false" ht="27.75" hidden="false" customHeight="true" outlineLevel="0" collapsed="false">
      <c r="A1" s="65" t="s">
        <v>131</v>
      </c>
      <c r="B1" s="65"/>
      <c r="C1" s="65"/>
    </row>
    <row r="2" customFormat="false" ht="15" hidden="false" customHeight="true" outlineLevel="0" collapsed="false">
      <c r="A2" s="66" t="s">
        <v>132</v>
      </c>
      <c r="B2" s="66"/>
      <c r="C2" s="66"/>
    </row>
    <row r="3" customFormat="false" ht="15" hidden="false" customHeight="true" outlineLevel="0" collapsed="false">
      <c r="A3" s="67" t="s">
        <v>127</v>
      </c>
      <c r="B3" s="67" t="s">
        <v>133</v>
      </c>
    </row>
    <row r="4" customFormat="false" ht="15" hidden="false" customHeight="true" outlineLevel="0" collapsed="false">
      <c r="A4" s="18" t="s">
        <v>134</v>
      </c>
      <c r="B4" s="68" t="s">
        <v>135</v>
      </c>
    </row>
    <row r="5" customFormat="false" ht="15" hidden="false" customHeight="true" outlineLevel="0" collapsed="false">
      <c r="A5" s="69" t="s">
        <v>70</v>
      </c>
      <c r="B5" s="70" t="s">
        <v>136</v>
      </c>
    </row>
    <row r="6" customFormat="false" ht="15" hidden="false" customHeight="true" outlineLevel="0" collapsed="false">
      <c r="A6" s="18" t="s">
        <v>137</v>
      </c>
      <c r="B6" s="68" t="s">
        <v>138</v>
      </c>
    </row>
    <row r="7" customFormat="false" ht="15" hidden="false" customHeight="true" outlineLevel="0" collapsed="false">
      <c r="A7" s="69" t="s">
        <v>94</v>
      </c>
      <c r="B7" s="70" t="s">
        <v>139</v>
      </c>
    </row>
    <row r="8" customFormat="false" ht="15" hidden="false" customHeight="true" outlineLevel="0" collapsed="false">
      <c r="A8" s="18" t="s">
        <v>140</v>
      </c>
      <c r="B8" s="68" t="s">
        <v>141</v>
      </c>
    </row>
    <row r="9" customFormat="false" ht="15" hidden="false" customHeight="true" outlineLevel="0" collapsed="false">
      <c r="A9" s="69" t="s">
        <v>142</v>
      </c>
      <c r="B9" s="70" t="s">
        <v>143</v>
      </c>
    </row>
    <row r="11" customFormat="false" ht="15" hidden="false" customHeight="true" outlineLevel="0" collapsed="false">
      <c r="A11" s="71" t="s">
        <v>144</v>
      </c>
      <c r="B11" s="71"/>
      <c r="C11" s="71"/>
    </row>
    <row r="12" customFormat="false" ht="15" hidden="false" customHeight="true" outlineLevel="0" collapsed="false">
      <c r="A12" s="72" t="s">
        <v>145</v>
      </c>
      <c r="B12" s="72" t="s">
        <v>146</v>
      </c>
      <c r="C12" s="72" t="s">
        <v>67</v>
      </c>
    </row>
    <row r="13" customFormat="false" ht="32.25" hidden="false" customHeight="true" outlineLevel="0" collapsed="false">
      <c r="A13" s="69" t="s">
        <v>147</v>
      </c>
      <c r="B13" s="73" t="s">
        <v>148</v>
      </c>
      <c r="C13" s="73" t="s">
        <v>149</v>
      </c>
    </row>
    <row r="14" customFormat="false" ht="21.75" hidden="false" customHeight="true" outlineLevel="0" collapsed="false">
      <c r="A14" s="18" t="s">
        <v>150</v>
      </c>
      <c r="B14" s="74" t="s">
        <v>151</v>
      </c>
      <c r="C14" s="74" t="s">
        <v>152</v>
      </c>
    </row>
    <row r="15" customFormat="false" ht="21.75" hidden="false" customHeight="true" outlineLevel="0" collapsed="false">
      <c r="A15" s="69" t="s">
        <v>153</v>
      </c>
      <c r="B15" s="73" t="s">
        <v>154</v>
      </c>
      <c r="C15" s="73" t="s">
        <v>155</v>
      </c>
    </row>
    <row r="16" customFormat="false" ht="15" hidden="false" customHeight="true" outlineLevel="0" collapsed="false">
      <c r="A16" s="18" t="s">
        <v>156</v>
      </c>
      <c r="B16" s="74" t="s">
        <v>157</v>
      </c>
      <c r="C16" s="74" t="s">
        <v>158</v>
      </c>
    </row>
    <row r="17" customFormat="false" ht="21.75" hidden="false" customHeight="true" outlineLevel="0" collapsed="false">
      <c r="A17" s="69" t="s">
        <v>159</v>
      </c>
      <c r="B17" s="73" t="s">
        <v>160</v>
      </c>
      <c r="C17" s="73" t="s">
        <v>161</v>
      </c>
    </row>
    <row r="18" customFormat="false" ht="15" hidden="false" customHeight="true" outlineLevel="0" collapsed="false">
      <c r="A18" s="18" t="s">
        <v>162</v>
      </c>
      <c r="B18" s="74" t="s">
        <v>163</v>
      </c>
      <c r="C18" s="74" t="s">
        <v>164</v>
      </c>
    </row>
    <row r="20" customFormat="false" ht="15" hidden="false" customHeight="true" outlineLevel="0" collapsed="false">
      <c r="A20" s="75" t="s">
        <v>165</v>
      </c>
      <c r="B20" s="75"/>
      <c r="C20" s="75"/>
    </row>
    <row r="21" customFormat="false" ht="18" hidden="false" customHeight="true" outlineLevel="0" collapsed="false">
      <c r="A21" s="76" t="s">
        <v>166</v>
      </c>
      <c r="B21" s="76"/>
      <c r="C21" s="76"/>
    </row>
    <row r="22" customFormat="false" ht="18" hidden="false" customHeight="true" outlineLevel="0" collapsed="false">
      <c r="A22" s="77" t="s">
        <v>167</v>
      </c>
      <c r="B22" s="77"/>
      <c r="C22" s="77"/>
    </row>
    <row r="23" customFormat="false" ht="18" hidden="false" customHeight="true" outlineLevel="0" collapsed="false">
      <c r="A23" s="76" t="s">
        <v>168</v>
      </c>
      <c r="B23" s="76"/>
      <c r="C23" s="76"/>
    </row>
    <row r="24" customFormat="false" ht="18" hidden="false" customHeight="true" outlineLevel="0" collapsed="false">
      <c r="A24" s="77" t="s">
        <v>169</v>
      </c>
      <c r="B24" s="77"/>
      <c r="C24" s="77"/>
    </row>
    <row r="25" customFormat="false" ht="18" hidden="false" customHeight="true" outlineLevel="0" collapsed="false">
      <c r="A25" s="76" t="s">
        <v>170</v>
      </c>
      <c r="B25" s="76"/>
      <c r="C25" s="76"/>
    </row>
    <row r="26" customFormat="false" ht="18" hidden="false" customHeight="true" outlineLevel="0" collapsed="false">
      <c r="A26" s="77" t="s">
        <v>171</v>
      </c>
      <c r="B26" s="77"/>
      <c r="C26" s="77"/>
    </row>
    <row r="27" customFormat="false" ht="18" hidden="false" customHeight="true" outlineLevel="0" collapsed="false">
      <c r="A27" s="76" t="s">
        <v>172</v>
      </c>
      <c r="B27" s="76"/>
      <c r="C27" s="76"/>
    </row>
    <row r="28" customFormat="false" ht="18" hidden="false" customHeight="true" outlineLevel="0" collapsed="false">
      <c r="A28" s="77" t="s">
        <v>173</v>
      </c>
      <c r="B28" s="77"/>
      <c r="C28" s="77"/>
    </row>
    <row r="29" customFormat="false" ht="18" hidden="false" customHeight="true" outlineLevel="0" collapsed="false">
      <c r="A29" s="76" t="s">
        <v>174</v>
      </c>
      <c r="B29" s="76"/>
      <c r="C29" s="76"/>
    </row>
    <row r="30" customFormat="false" ht="18" hidden="false" customHeight="true" outlineLevel="0" collapsed="false">
      <c r="A30" s="77" t="s">
        <v>175</v>
      </c>
      <c r="B30" s="77"/>
      <c r="C30" s="77"/>
    </row>
    <row r="32" customFormat="false" ht="36" hidden="false" customHeight="true" outlineLevel="0" collapsed="false">
      <c r="A32" s="78" t="s">
        <v>176</v>
      </c>
      <c r="B32" s="78"/>
      <c r="C32" s="78"/>
    </row>
  </sheetData>
  <mergeCells count="15">
    <mergeCell ref="A1:C1"/>
    <mergeCell ref="A2:C2"/>
    <mergeCell ref="A11:C11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2:C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20" width="14"/>
    <col collapsed="false" customWidth="true" hidden="false" outlineLevel="0" max="3" min="2" style="20" width="12"/>
  </cols>
  <sheetData>
    <row r="1" customFormat="false" ht="15" hidden="false" customHeight="true" outlineLevel="0" collapsed="false">
      <c r="A1" s="79" t="s">
        <v>177</v>
      </c>
      <c r="B1" s="79" t="s">
        <v>80</v>
      </c>
      <c r="C1" s="79" t="s">
        <v>178</v>
      </c>
    </row>
    <row r="2" customFormat="false" ht="27.75" hidden="false" customHeight="true" outlineLevel="0" collapsed="false">
      <c r="A2" s="80" t="s">
        <v>179</v>
      </c>
      <c r="B2" s="20" t="n">
        <f aca="true">COUNTIFS(Applications!B3:B502,"&gt;="&amp;(TODAY()-28),Applications!B3:B502,"&lt;="&amp;(TODAY()-22))</f>
        <v>0</v>
      </c>
      <c r="C2" s="20" t="n">
        <f aca="true">COUNTIFS(Applications!B3:B502,"&gt;="&amp;(TODAY()-28),Applications!B3:B502,"&lt;="&amp;(TODAY()-22),Applications!R3:R502,"Yes")</f>
        <v>0</v>
      </c>
    </row>
    <row r="3" customFormat="false" ht="15" hidden="false" customHeight="true" outlineLevel="0" collapsed="false">
      <c r="A3" s="20" t="s">
        <v>180</v>
      </c>
      <c r="B3" s="20" t="n">
        <f aca="true">COUNTIFS(Applications!B3:B502,"&gt;="&amp;(TODAY()-21),Applications!B3:B502,"&lt;="&amp;(TODAY()-15))</f>
        <v>0</v>
      </c>
      <c r="C3" s="20" t="n">
        <f aca="true">COUNTIFS(Applications!B3:B502,"&gt;="&amp;(TODAY()-21),Applications!B3:B502,"&lt;="&amp;(TODAY()-15),Applications!R3:R502,"Yes")</f>
        <v>0</v>
      </c>
    </row>
    <row r="4" customFormat="false" ht="15" hidden="false" customHeight="true" outlineLevel="0" collapsed="false">
      <c r="A4" s="20" t="s">
        <v>181</v>
      </c>
      <c r="B4" s="20" t="n">
        <f aca="true">COUNTIFS(Applications!B3:B502,"&gt;="&amp;(TODAY()-14),Applications!B3:B502,"&lt;="&amp;(TODAY()-8))</f>
        <v>0</v>
      </c>
      <c r="C4" s="20" t="n">
        <f aca="true">COUNTIFS(Applications!B3:B502,"&gt;="&amp;(TODAY()-14),Applications!B3:B502,"&lt;="&amp;(TODAY()-8),Applications!R3:R502,"Yes")</f>
        <v>0</v>
      </c>
    </row>
    <row r="5" customFormat="false" ht="27.75" hidden="false" customHeight="true" outlineLevel="0" collapsed="false">
      <c r="A5" s="80" t="s">
        <v>182</v>
      </c>
      <c r="B5" s="20" t="n">
        <f aca="true">COUNTIFS(Applications!B3:B502,"&gt;="&amp;(TODAY()-7),Applications!B3:B502,"&lt;="&amp;(TODAY()))</f>
        <v>0</v>
      </c>
      <c r="C5" s="20" t="n">
        <f aca="true">COUNTIFS(Applications!B3:B502,"&gt;="&amp;(TODAY()-7),Applications!B3:B502,"&lt;="&amp;(TODAY()),Applications!R3:R502,"Yes")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2026-06-15T06:00:13Z</dcterms:created>
  <dc:creator>openpyxl</dc:creator>
  <dc:description/>
  <dc:language>en-US</dc:language>
  <cp:lastModifiedBy/>
  <dcterms:modified xsi:type="dcterms:W3CDTF">2026-06-15T06:39:40Z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